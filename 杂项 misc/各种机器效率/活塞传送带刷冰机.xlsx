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1E182FB0-70E9-4692-A8F0-51071185FB52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Sheet1" sheetId="1" r:id="rId1"/>
    <sheet name="定时收割效率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2" i="1"/>
  <c r="D2" i="1"/>
  <c r="I2" i="1" s="1"/>
  <c r="D3" i="1"/>
  <c r="H3" i="1" s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1" i="2"/>
  <c r="C3" i="1"/>
  <c r="E3" i="1" s="1"/>
  <c r="H2" i="1"/>
  <c r="C2" i="1"/>
  <c r="E2" i="1" s="1"/>
  <c r="I3" i="1" l="1"/>
</calcChain>
</file>

<file path=xl/sharedStrings.xml><?xml version="1.0" encoding="utf-8"?>
<sst xmlns="http://schemas.openxmlformats.org/spreadsheetml/2006/main" count="8" uniqueCount="8">
  <si>
    <t>水源数</t>
    <phoneticPr fontId="1" type="noConversion"/>
  </si>
  <si>
    <t>时钟周期</t>
    <phoneticPr fontId="1" type="noConversion"/>
  </si>
  <si>
    <t>水源倍数</t>
    <phoneticPr fontId="1" type="noConversion"/>
  </si>
  <si>
    <t>72k每周期漏冰数</t>
    <phoneticPr fontId="1" type="noConversion"/>
  </si>
  <si>
    <t>72k实际效率</t>
    <phoneticPr fontId="1" type="noConversion"/>
  </si>
  <si>
    <t>8gt模块每周期漏冰数</t>
    <phoneticPr fontId="1" type="noConversion"/>
  </si>
  <si>
    <t>实测达成率</t>
    <phoneticPr fontId="1" type="noConversion"/>
  </si>
  <si>
    <t>每条单元数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</si>
</sst>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定时收割效率!$A$1:$A$65</c:f>
              <c:numCache>
                <c:formatCode>General</c:formatCode>
                <c:ptCount val="65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48</c:v>
                </c:pt>
                <c:pt idx="7">
                  <c:v>56</c:v>
                </c:pt>
                <c:pt idx="8">
                  <c:v>64</c:v>
                </c:pt>
                <c:pt idx="9">
                  <c:v>72</c:v>
                </c:pt>
                <c:pt idx="10">
                  <c:v>80</c:v>
                </c:pt>
                <c:pt idx="11">
                  <c:v>88</c:v>
                </c:pt>
                <c:pt idx="12">
                  <c:v>96</c:v>
                </c:pt>
                <c:pt idx="13">
                  <c:v>104</c:v>
                </c:pt>
                <c:pt idx="14">
                  <c:v>112</c:v>
                </c:pt>
                <c:pt idx="15">
                  <c:v>120</c:v>
                </c:pt>
                <c:pt idx="16">
                  <c:v>128</c:v>
                </c:pt>
                <c:pt idx="17">
                  <c:v>136</c:v>
                </c:pt>
                <c:pt idx="18">
                  <c:v>144</c:v>
                </c:pt>
                <c:pt idx="19">
                  <c:v>152</c:v>
                </c:pt>
                <c:pt idx="20">
                  <c:v>160</c:v>
                </c:pt>
                <c:pt idx="21">
                  <c:v>168</c:v>
                </c:pt>
                <c:pt idx="22">
                  <c:v>176</c:v>
                </c:pt>
                <c:pt idx="23">
                  <c:v>184</c:v>
                </c:pt>
                <c:pt idx="24">
                  <c:v>192</c:v>
                </c:pt>
                <c:pt idx="25">
                  <c:v>200</c:v>
                </c:pt>
                <c:pt idx="26">
                  <c:v>208</c:v>
                </c:pt>
                <c:pt idx="27">
                  <c:v>216</c:v>
                </c:pt>
                <c:pt idx="28">
                  <c:v>224</c:v>
                </c:pt>
                <c:pt idx="29">
                  <c:v>232</c:v>
                </c:pt>
                <c:pt idx="30">
                  <c:v>240</c:v>
                </c:pt>
                <c:pt idx="31">
                  <c:v>248</c:v>
                </c:pt>
                <c:pt idx="32">
                  <c:v>256</c:v>
                </c:pt>
                <c:pt idx="33">
                  <c:v>264</c:v>
                </c:pt>
                <c:pt idx="34">
                  <c:v>272</c:v>
                </c:pt>
                <c:pt idx="35">
                  <c:v>280</c:v>
                </c:pt>
                <c:pt idx="36">
                  <c:v>288</c:v>
                </c:pt>
                <c:pt idx="37">
                  <c:v>296</c:v>
                </c:pt>
                <c:pt idx="38">
                  <c:v>304</c:v>
                </c:pt>
                <c:pt idx="39">
                  <c:v>312</c:v>
                </c:pt>
                <c:pt idx="40">
                  <c:v>320</c:v>
                </c:pt>
                <c:pt idx="41">
                  <c:v>328</c:v>
                </c:pt>
                <c:pt idx="42">
                  <c:v>336</c:v>
                </c:pt>
                <c:pt idx="43">
                  <c:v>344</c:v>
                </c:pt>
                <c:pt idx="44">
                  <c:v>352</c:v>
                </c:pt>
                <c:pt idx="45">
                  <c:v>360</c:v>
                </c:pt>
                <c:pt idx="46">
                  <c:v>368</c:v>
                </c:pt>
                <c:pt idx="47">
                  <c:v>376</c:v>
                </c:pt>
                <c:pt idx="48">
                  <c:v>384</c:v>
                </c:pt>
                <c:pt idx="49">
                  <c:v>392</c:v>
                </c:pt>
                <c:pt idx="50">
                  <c:v>400</c:v>
                </c:pt>
                <c:pt idx="51">
                  <c:v>408</c:v>
                </c:pt>
                <c:pt idx="52">
                  <c:v>416</c:v>
                </c:pt>
                <c:pt idx="53">
                  <c:v>424</c:v>
                </c:pt>
                <c:pt idx="54">
                  <c:v>432</c:v>
                </c:pt>
                <c:pt idx="55">
                  <c:v>440</c:v>
                </c:pt>
                <c:pt idx="56">
                  <c:v>448</c:v>
                </c:pt>
                <c:pt idx="57">
                  <c:v>456</c:v>
                </c:pt>
                <c:pt idx="58">
                  <c:v>464</c:v>
                </c:pt>
                <c:pt idx="59">
                  <c:v>472</c:v>
                </c:pt>
                <c:pt idx="60">
                  <c:v>480</c:v>
                </c:pt>
                <c:pt idx="61">
                  <c:v>488</c:v>
                </c:pt>
                <c:pt idx="62">
                  <c:v>496</c:v>
                </c:pt>
                <c:pt idx="63">
                  <c:v>504</c:v>
                </c:pt>
                <c:pt idx="64">
                  <c:v>512</c:v>
                </c:pt>
              </c:numCache>
            </c:numRef>
          </c:cat>
          <c:val>
            <c:numRef>
              <c:f>定时收割效率!$B$1:$B$65</c:f>
              <c:numCache>
                <c:formatCode>General</c:formatCode>
                <c:ptCount val="65"/>
                <c:pt idx="0">
                  <c:v>0</c:v>
                </c:pt>
                <c:pt idx="1">
                  <c:v>0.31559949616250976</c:v>
                </c:pt>
                <c:pt idx="2">
                  <c:v>0.49045353273423975</c:v>
                </c:pt>
                <c:pt idx="3">
                  <c:v>0.60133312522167226</c:v>
                </c:pt>
                <c:pt idx="4">
                  <c:v>0.6777655860182481</c:v>
                </c:pt>
                <c:pt idx="5">
                  <c:v>0.73353032648186356</c:v>
                </c:pt>
                <c:pt idx="6">
                  <c:v>0.77592232813413564</c:v>
                </c:pt>
                <c:pt idx="7">
                  <c:v>0.80916500047064277</c:v>
                </c:pt>
                <c:pt idx="8">
                  <c:v>0.83587283430817871</c:v>
                </c:pt>
                <c:pt idx="9">
                  <c:v>0.85775093164646987</c:v>
                </c:pt>
                <c:pt idx="10">
                  <c:v>0.87595876119628469</c:v>
                </c:pt>
                <c:pt idx="11">
                  <c:v>0.89131224478390603</c:v>
                </c:pt>
                <c:pt idx="12">
                  <c:v>0.90440222179516627</c:v>
                </c:pt>
                <c:pt idx="13">
                  <c:v>0.91566705641529966</c:v>
                </c:pt>
                <c:pt idx="14">
                  <c:v>0.92543884223615624</c:v>
                </c:pt>
                <c:pt idx="15">
                  <c:v>0.93397376528376885</c:v>
                </c:pt>
                <c:pt idx="16">
                  <c:v>0.94147261957753892</c:v>
                </c:pt>
                <c:pt idx="17">
                  <c:v>0.94809501020964926</c:v>
                </c:pt>
                <c:pt idx="18">
                  <c:v>0.95396939942564585</c:v>
                </c:pt>
                <c:pt idx="19">
                  <c:v>0.95920034914763352</c:v>
                </c:pt>
                <c:pt idx="20">
                  <c:v>0.96387383215796152</c:v>
                </c:pt>
                <c:pt idx="21">
                  <c:v>0.96806118723598555</c:v>
                </c:pt>
                <c:pt idx="22">
                  <c:v>0.97182210568993765</c:v>
                </c:pt>
                <c:pt idx="23">
                  <c:v>0.9752069151753977</c:v>
                </c:pt>
                <c:pt idx="24">
                  <c:v>0.97825834642278697</c:v>
                </c:pt>
                <c:pt idx="25">
                  <c:v>0.98101291449704786</c:v>
                </c:pt>
                <c:pt idx="26">
                  <c:v>0.98350200926581899</c:v>
                </c:pt>
                <c:pt idx="27">
                  <c:v>0.98575276407745727</c:v>
                </c:pt>
                <c:pt idx="28">
                  <c:v>0.98778875355158913</c:v>
                </c:pt>
                <c:pt idx="29">
                  <c:v>0.98963055845716763</c:v>
                </c:pt>
                <c:pt idx="30">
                  <c:v>0.99129622630536118</c:v>
                </c:pt>
                <c:pt idx="31">
                  <c:v>0.99280164944818061</c:v>
                </c:pt>
                <c:pt idx="32">
                  <c:v>0.99416087742082515</c:v>
                </c:pt>
                <c:pt idx="33">
                  <c:v>0.99538637649377226</c:v>
                </c:pt>
                <c:pt idx="34">
                  <c:v>0.99648924655877513</c:v>
                </c:pt>
                <c:pt idx="35">
                  <c:v>0.99747940331309259</c:v>
                </c:pt>
                <c:pt idx="36">
                  <c:v>0.99836573205137658</c:v>
                </c:pt>
                <c:pt idx="37">
                  <c:v>0.99915621809675648</c:v>
                </c:pt>
                <c:pt idx="38">
                  <c:v>0.99985805790881266</c:v>
                </c:pt>
                <c:pt idx="39">
                  <c:v>1.0004777541277345</c:v>
                </c:pt>
                <c:pt idx="40">
                  <c:v>1.0010211972004832</c:v>
                </c:pt>
                <c:pt idx="41">
                  <c:v>1.0014937357481724</c:v>
                </c:pt>
                <c:pt idx="42">
                  <c:v>1.001900237445718</c:v>
                </c:pt>
                <c:pt idx="43">
                  <c:v>1.0022451418733831</c:v>
                </c:pt>
                <c:pt idx="44">
                  <c:v>1.0025325065487953</c:v>
                </c:pt>
                <c:pt idx="45">
                  <c:v>1.0027660471443638</c:v>
                </c:pt>
                <c:pt idx="46">
                  <c:v>1.0029491727293718</c:v>
                </c:pt>
                <c:pt idx="47">
                  <c:v>1.0030850167402787</c:v>
                </c:pt>
                <c:pt idx="48">
                  <c:v>1.0031764642713938</c:v>
                </c:pt>
                <c:pt idx="49">
                  <c:v>1.0032261761860504</c:v>
                </c:pt>
                <c:pt idx="50">
                  <c:v>1.0032366104722121</c:v>
                </c:pt>
                <c:pt idx="51">
                  <c:v>1.0032100412030696</c:v>
                </c:pt>
                <c:pt idx="52">
                  <c:v>1.0031485754102167</c:v>
                </c:pt>
                <c:pt idx="53">
                  <c:v>1.0030541681327088</c:v>
                </c:pt>
                <c:pt idx="54">
                  <c:v>1.0029286358679863</c:v>
                </c:pt>
                <c:pt idx="55">
                  <c:v>1.0027736686192246</c:v>
                </c:pt>
                <c:pt idx="56">
                  <c:v>1.0025908407070576</c:v>
                </c:pt>
                <c:pt idx="57">
                  <c:v>1.0023816204910432</c:v>
                </c:pt>
                <c:pt idx="58">
                  <c:v>1.0021473791270161</c:v>
                </c:pt>
                <c:pt idx="59">
                  <c:v>1.001889398470063</c:v>
                </c:pt>
                <c:pt idx="60">
                  <c:v>1.0016088782188142</c:v>
                </c:pt>
                <c:pt idx="61">
                  <c:v>1.0013069423846783</c:v>
                </c:pt>
                <c:pt idx="62">
                  <c:v>1.0009846451592948</c:v>
                </c:pt>
                <c:pt idx="63">
                  <c:v>1.000642976244507</c:v>
                </c:pt>
                <c:pt idx="64">
                  <c:v>1.0002828657014275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D1-4F00-A3E6-D8559C963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2295296"/>
        <c:axId val="1162297696"/>
      </c:lineChart>
      <c:catAx>
        <c:axId val="116229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2297696"/>
        <c:crosses val="autoZero"/>
        <c:auto val="1"/>
        <c:lblAlgn val="ctr"/>
        <c:lblOffset val="100"/>
        <c:noMultiLvlLbl val="0"/>
      </c:catAx>
      <c:valAx>
        <c:axId val="116229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229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385763</xdr:colOff>
      <xdr:row>1</xdr:row>
      <xdr:rowOff>57150</xdr:rowOff>
    </xdr:from>
    <xdr:to>
      <xdr:col>17</xdr:col>
      <xdr:colOff>249382</xdr:colOff>
      <xdr:row>39</xdr:row>
      <xdr:rowOff>87891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901A7A9-CE0B-7AB7-A777-A0D493D188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/>
  </sheetViews>
  <sheetFormatPr defaultRowHeight="13.9" x14ac:dyDescent="0.4"/>
  <cols>
    <col min="4" max="4" width="12.1328125" customWidth="1"/>
    <col min="7" max="7" width="15.06640625" customWidth="1"/>
    <col min="8" max="8" width="18.1328125" customWidth="1"/>
  </cols>
  <sheetData>
    <row r="1" spans="1:9" x14ac:dyDescent="0.4">
      <c r="A1" t="s">
        <v>1</v>
      </c>
      <c r="B1" t="s">
        <v>7</v>
      </c>
      <c r="C1" t="s">
        <v>0</v>
      </c>
      <c r="D1" t="s">
        <v>6</v>
      </c>
      <c r="E1" t="s">
        <v>2</v>
      </c>
      <c r="G1" t="s">
        <v>5</v>
      </c>
      <c r="H1" t="s">
        <v>3</v>
      </c>
      <c r="I1" t="s">
        <v>4</v>
      </c>
    </row>
    <row r="2" spans="1:9" x14ac:dyDescent="0.4">
      <c r="A2">
        <v>128</v>
      </c>
      <c r="B2">
        <v>24</v>
      </c>
      <c r="C2">
        <f>B2*2</f>
        <v>48</v>
      </c>
      <c r="D2">
        <f>12608/12653</f>
        <v>0.9964435311783767</v>
      </c>
      <c r="E2">
        <f>C2/(4096/A2)</f>
        <v>1.5</v>
      </c>
      <c r="G2">
        <f>(A2/8)*(1-D2)</f>
        <v>5.6903501145972868E-2</v>
      </c>
      <c r="H2">
        <f>A2*(1-D2)</f>
        <v>0.45522800916778294</v>
      </c>
      <c r="I2">
        <f>D2*72000</f>
        <v>71743.934244843127</v>
      </c>
    </row>
    <row r="3" spans="1:9" x14ac:dyDescent="0.4">
      <c r="A3">
        <v>128</v>
      </c>
      <c r="B3">
        <v>20</v>
      </c>
      <c r="C3">
        <f>B3*2</f>
        <v>40</v>
      </c>
      <c r="D3">
        <f>12946/13551</f>
        <v>0.95535384842447046</v>
      </c>
      <c r="E3">
        <f>C3/(4096/A3)</f>
        <v>1.25</v>
      </c>
      <c r="G3">
        <f>(A3/8)*(1-D3)</f>
        <v>0.71433842520847257</v>
      </c>
      <c r="H3">
        <f>A3*(1-D3)</f>
        <v>5.7147074016677806</v>
      </c>
      <c r="I3">
        <f>D3*72000</f>
        <v>68785.477086561878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9C5F0-F3D7-472E-A4D6-797FEA45216A}">
  <dimension ref="A1:B65"/>
  <sheetViews>
    <sheetView zoomScaleNormal="100" workbookViewId="0"/>
  </sheetViews>
  <sheetFormatPr defaultRowHeight="13.9" x14ac:dyDescent="0.4"/>
  <sheetData>
    <row r="1" spans="1:2" x14ac:dyDescent="0.4">
      <c r="A1">
        <v>0</v>
      </c>
      <c r="B1">
        <f>72000*(1-(4095/4096)^A1)/(A1+20)/15.9</f>
        <v>0</v>
      </c>
    </row>
    <row r="2" spans="1:2" x14ac:dyDescent="0.4">
      <c r="A2">
        <v>8</v>
      </c>
      <c r="B2">
        <f t="shared" ref="B2:B65" si="0">72000*(1-(4095/4096)^A2)/(A2+20)/15.9</f>
        <v>0.31559949616250976</v>
      </c>
    </row>
    <row r="3" spans="1:2" x14ac:dyDescent="0.4">
      <c r="A3">
        <v>16</v>
      </c>
      <c r="B3">
        <f t="shared" si="0"/>
        <v>0.49045353273423975</v>
      </c>
    </row>
    <row r="4" spans="1:2" x14ac:dyDescent="0.4">
      <c r="A4">
        <v>24</v>
      </c>
      <c r="B4">
        <f t="shared" si="0"/>
        <v>0.60133312522167226</v>
      </c>
    </row>
    <row r="5" spans="1:2" x14ac:dyDescent="0.4">
      <c r="A5">
        <v>32</v>
      </c>
      <c r="B5">
        <f t="shared" si="0"/>
        <v>0.6777655860182481</v>
      </c>
    </row>
    <row r="6" spans="1:2" x14ac:dyDescent="0.4">
      <c r="A6">
        <v>40</v>
      </c>
      <c r="B6">
        <f t="shared" si="0"/>
        <v>0.73353032648186356</v>
      </c>
    </row>
    <row r="7" spans="1:2" x14ac:dyDescent="0.4">
      <c r="A7">
        <v>48</v>
      </c>
      <c r="B7">
        <f t="shared" si="0"/>
        <v>0.77592232813413564</v>
      </c>
    </row>
    <row r="8" spans="1:2" x14ac:dyDescent="0.4">
      <c r="A8">
        <v>56</v>
      </c>
      <c r="B8">
        <f t="shared" si="0"/>
        <v>0.80916500047064277</v>
      </c>
    </row>
    <row r="9" spans="1:2" x14ac:dyDescent="0.4">
      <c r="A9">
        <v>64</v>
      </c>
      <c r="B9">
        <f t="shared" si="0"/>
        <v>0.83587283430817871</v>
      </c>
    </row>
    <row r="10" spans="1:2" x14ac:dyDescent="0.4">
      <c r="A10">
        <v>72</v>
      </c>
      <c r="B10">
        <f t="shared" si="0"/>
        <v>0.85775093164646987</v>
      </c>
    </row>
    <row r="11" spans="1:2" x14ac:dyDescent="0.4">
      <c r="A11">
        <v>80</v>
      </c>
      <c r="B11">
        <f t="shared" si="0"/>
        <v>0.87595876119628469</v>
      </c>
    </row>
    <row r="12" spans="1:2" x14ac:dyDescent="0.4">
      <c r="A12">
        <v>88</v>
      </c>
      <c r="B12">
        <f t="shared" si="0"/>
        <v>0.89131224478390603</v>
      </c>
    </row>
    <row r="13" spans="1:2" x14ac:dyDescent="0.4">
      <c r="A13">
        <v>96</v>
      </c>
      <c r="B13">
        <f t="shared" si="0"/>
        <v>0.90440222179516627</v>
      </c>
    </row>
    <row r="14" spans="1:2" x14ac:dyDescent="0.4">
      <c r="A14">
        <v>104</v>
      </c>
      <c r="B14">
        <f t="shared" si="0"/>
        <v>0.91566705641529966</v>
      </c>
    </row>
    <row r="15" spans="1:2" x14ac:dyDescent="0.4">
      <c r="A15">
        <v>112</v>
      </c>
      <c r="B15">
        <f t="shared" si="0"/>
        <v>0.92543884223615624</v>
      </c>
    </row>
    <row r="16" spans="1:2" x14ac:dyDescent="0.4">
      <c r="A16">
        <v>120</v>
      </c>
      <c r="B16">
        <f t="shared" si="0"/>
        <v>0.93397376528376885</v>
      </c>
    </row>
    <row r="17" spans="1:2" x14ac:dyDescent="0.4">
      <c r="A17">
        <v>128</v>
      </c>
      <c r="B17">
        <f t="shared" si="0"/>
        <v>0.94147261957753892</v>
      </c>
    </row>
    <row r="18" spans="1:2" x14ac:dyDescent="0.4">
      <c r="A18">
        <v>136</v>
      </c>
      <c r="B18">
        <f t="shared" si="0"/>
        <v>0.94809501020964926</v>
      </c>
    </row>
    <row r="19" spans="1:2" x14ac:dyDescent="0.4">
      <c r="A19">
        <v>144</v>
      </c>
      <c r="B19">
        <f t="shared" si="0"/>
        <v>0.95396939942564585</v>
      </c>
    </row>
    <row r="20" spans="1:2" x14ac:dyDescent="0.4">
      <c r="A20">
        <v>152</v>
      </c>
      <c r="B20">
        <f t="shared" si="0"/>
        <v>0.95920034914763352</v>
      </c>
    </row>
    <row r="21" spans="1:2" x14ac:dyDescent="0.4">
      <c r="A21">
        <v>160</v>
      </c>
      <c r="B21">
        <f t="shared" si="0"/>
        <v>0.96387383215796152</v>
      </c>
    </row>
    <row r="22" spans="1:2" x14ac:dyDescent="0.4">
      <c r="A22">
        <v>168</v>
      </c>
      <c r="B22">
        <f t="shared" si="0"/>
        <v>0.96806118723598555</v>
      </c>
    </row>
    <row r="23" spans="1:2" x14ac:dyDescent="0.4">
      <c r="A23">
        <v>176</v>
      </c>
      <c r="B23">
        <f t="shared" si="0"/>
        <v>0.97182210568993765</v>
      </c>
    </row>
    <row r="24" spans="1:2" x14ac:dyDescent="0.4">
      <c r="A24">
        <v>184</v>
      </c>
      <c r="B24">
        <f t="shared" si="0"/>
        <v>0.9752069151753977</v>
      </c>
    </row>
    <row r="25" spans="1:2" x14ac:dyDescent="0.4">
      <c r="A25">
        <v>192</v>
      </c>
      <c r="B25">
        <f t="shared" si="0"/>
        <v>0.97825834642278697</v>
      </c>
    </row>
    <row r="26" spans="1:2" x14ac:dyDescent="0.4">
      <c r="A26">
        <v>200</v>
      </c>
      <c r="B26">
        <f t="shared" si="0"/>
        <v>0.98101291449704786</v>
      </c>
    </row>
    <row r="27" spans="1:2" x14ac:dyDescent="0.4">
      <c r="A27">
        <v>208</v>
      </c>
      <c r="B27">
        <f t="shared" si="0"/>
        <v>0.98350200926581899</v>
      </c>
    </row>
    <row r="28" spans="1:2" x14ac:dyDescent="0.4">
      <c r="A28">
        <v>216</v>
      </c>
      <c r="B28">
        <f t="shared" si="0"/>
        <v>0.98575276407745727</v>
      </c>
    </row>
    <row r="29" spans="1:2" x14ac:dyDescent="0.4">
      <c r="A29">
        <v>224</v>
      </c>
      <c r="B29">
        <f t="shared" si="0"/>
        <v>0.98778875355158913</v>
      </c>
    </row>
    <row r="30" spans="1:2" x14ac:dyDescent="0.4">
      <c r="A30">
        <v>232</v>
      </c>
      <c r="B30">
        <f t="shared" si="0"/>
        <v>0.98963055845716763</v>
      </c>
    </row>
    <row r="31" spans="1:2" x14ac:dyDescent="0.4">
      <c r="A31">
        <v>240</v>
      </c>
      <c r="B31">
        <f t="shared" si="0"/>
        <v>0.99129622630536118</v>
      </c>
    </row>
    <row r="32" spans="1:2" x14ac:dyDescent="0.4">
      <c r="A32">
        <v>248</v>
      </c>
      <c r="B32">
        <f t="shared" si="0"/>
        <v>0.99280164944818061</v>
      </c>
    </row>
    <row r="33" spans="1:2" x14ac:dyDescent="0.4">
      <c r="A33">
        <v>256</v>
      </c>
      <c r="B33">
        <f t="shared" si="0"/>
        <v>0.99416087742082515</v>
      </c>
    </row>
    <row r="34" spans="1:2" x14ac:dyDescent="0.4">
      <c r="A34">
        <v>264</v>
      </c>
      <c r="B34">
        <f t="shared" si="0"/>
        <v>0.99538637649377226</v>
      </c>
    </row>
    <row r="35" spans="1:2" x14ac:dyDescent="0.4">
      <c r="A35">
        <v>272</v>
      </c>
      <c r="B35">
        <f t="shared" si="0"/>
        <v>0.99648924655877513</v>
      </c>
    </row>
    <row r="36" spans="1:2" x14ac:dyDescent="0.4">
      <c r="A36">
        <v>280</v>
      </c>
      <c r="B36">
        <f t="shared" si="0"/>
        <v>0.99747940331309259</v>
      </c>
    </row>
    <row r="37" spans="1:2" x14ac:dyDescent="0.4">
      <c r="A37">
        <v>288</v>
      </c>
      <c r="B37">
        <f t="shared" si="0"/>
        <v>0.99836573205137658</v>
      </c>
    </row>
    <row r="38" spans="1:2" x14ac:dyDescent="0.4">
      <c r="A38">
        <v>296</v>
      </c>
      <c r="B38">
        <f t="shared" si="0"/>
        <v>0.99915621809675648</v>
      </c>
    </row>
    <row r="39" spans="1:2" x14ac:dyDescent="0.4">
      <c r="A39">
        <v>304</v>
      </c>
      <c r="B39">
        <f t="shared" si="0"/>
        <v>0.99985805790881266</v>
      </c>
    </row>
    <row r="40" spans="1:2" x14ac:dyDescent="0.4">
      <c r="A40">
        <v>312</v>
      </c>
      <c r="B40">
        <f t="shared" si="0"/>
        <v>1.0004777541277345</v>
      </c>
    </row>
    <row r="41" spans="1:2" x14ac:dyDescent="0.4">
      <c r="A41">
        <v>320</v>
      </c>
      <c r="B41">
        <f t="shared" si="0"/>
        <v>1.0010211972004832</v>
      </c>
    </row>
    <row r="42" spans="1:2" x14ac:dyDescent="0.4">
      <c r="A42">
        <v>328</v>
      </c>
      <c r="B42">
        <f t="shared" si="0"/>
        <v>1.0014937357481724</v>
      </c>
    </row>
    <row r="43" spans="1:2" x14ac:dyDescent="0.4">
      <c r="A43">
        <v>336</v>
      </c>
      <c r="B43">
        <f t="shared" si="0"/>
        <v>1.001900237445718</v>
      </c>
    </row>
    <row r="44" spans="1:2" x14ac:dyDescent="0.4">
      <c r="A44">
        <v>344</v>
      </c>
      <c r="B44">
        <f t="shared" si="0"/>
        <v>1.0022451418733831</v>
      </c>
    </row>
    <row r="45" spans="1:2" x14ac:dyDescent="0.4">
      <c r="A45">
        <v>352</v>
      </c>
      <c r="B45">
        <f t="shared" si="0"/>
        <v>1.0025325065487953</v>
      </c>
    </row>
    <row r="46" spans="1:2" x14ac:dyDescent="0.4">
      <c r="A46">
        <v>360</v>
      </c>
      <c r="B46">
        <f t="shared" si="0"/>
        <v>1.0027660471443638</v>
      </c>
    </row>
    <row r="47" spans="1:2" x14ac:dyDescent="0.4">
      <c r="A47">
        <v>368</v>
      </c>
      <c r="B47">
        <f t="shared" si="0"/>
        <v>1.0029491727293718</v>
      </c>
    </row>
    <row r="48" spans="1:2" x14ac:dyDescent="0.4">
      <c r="A48">
        <v>376</v>
      </c>
      <c r="B48">
        <f t="shared" si="0"/>
        <v>1.0030850167402787</v>
      </c>
    </row>
    <row r="49" spans="1:2" x14ac:dyDescent="0.4">
      <c r="A49">
        <v>384</v>
      </c>
      <c r="B49">
        <f t="shared" si="0"/>
        <v>1.0031764642713938</v>
      </c>
    </row>
    <row r="50" spans="1:2" x14ac:dyDescent="0.4">
      <c r="A50">
        <v>392</v>
      </c>
      <c r="B50">
        <f t="shared" si="0"/>
        <v>1.0032261761860504</v>
      </c>
    </row>
    <row r="51" spans="1:2" x14ac:dyDescent="0.4">
      <c r="A51" s="1">
        <v>400</v>
      </c>
      <c r="B51">
        <f t="shared" si="0"/>
        <v>1.0032366104722121</v>
      </c>
    </row>
    <row r="52" spans="1:2" x14ac:dyDescent="0.4">
      <c r="A52">
        <v>408</v>
      </c>
      <c r="B52">
        <f t="shared" si="0"/>
        <v>1.0032100412030696</v>
      </c>
    </row>
    <row r="53" spans="1:2" x14ac:dyDescent="0.4">
      <c r="A53">
        <v>416</v>
      </c>
      <c r="B53">
        <f t="shared" si="0"/>
        <v>1.0031485754102167</v>
      </c>
    </row>
    <row r="54" spans="1:2" x14ac:dyDescent="0.4">
      <c r="A54">
        <v>424</v>
      </c>
      <c r="B54">
        <f t="shared" si="0"/>
        <v>1.0030541681327088</v>
      </c>
    </row>
    <row r="55" spans="1:2" x14ac:dyDescent="0.4">
      <c r="A55">
        <v>432</v>
      </c>
      <c r="B55">
        <f t="shared" si="0"/>
        <v>1.0029286358679863</v>
      </c>
    </row>
    <row r="56" spans="1:2" x14ac:dyDescent="0.4">
      <c r="A56">
        <v>440</v>
      </c>
      <c r="B56">
        <f t="shared" si="0"/>
        <v>1.0027736686192246</v>
      </c>
    </row>
    <row r="57" spans="1:2" x14ac:dyDescent="0.4">
      <c r="A57">
        <v>448</v>
      </c>
      <c r="B57">
        <f t="shared" si="0"/>
        <v>1.0025908407070576</v>
      </c>
    </row>
    <row r="58" spans="1:2" x14ac:dyDescent="0.4">
      <c r="A58">
        <v>456</v>
      </c>
      <c r="B58">
        <f t="shared" si="0"/>
        <v>1.0023816204910432</v>
      </c>
    </row>
    <row r="59" spans="1:2" x14ac:dyDescent="0.4">
      <c r="A59">
        <v>464</v>
      </c>
      <c r="B59">
        <f t="shared" si="0"/>
        <v>1.0021473791270161</v>
      </c>
    </row>
    <row r="60" spans="1:2" x14ac:dyDescent="0.4">
      <c r="A60">
        <v>472</v>
      </c>
      <c r="B60">
        <f t="shared" si="0"/>
        <v>1.001889398470063</v>
      </c>
    </row>
    <row r="61" spans="1:2" x14ac:dyDescent="0.4">
      <c r="A61">
        <v>480</v>
      </c>
      <c r="B61">
        <f t="shared" si="0"/>
        <v>1.0016088782188142</v>
      </c>
    </row>
    <row r="62" spans="1:2" x14ac:dyDescent="0.4">
      <c r="A62">
        <v>488</v>
      </c>
      <c r="B62">
        <f t="shared" si="0"/>
        <v>1.0013069423846783</v>
      </c>
    </row>
    <row r="63" spans="1:2" x14ac:dyDescent="0.4">
      <c r="A63">
        <v>496</v>
      </c>
      <c r="B63">
        <f t="shared" si="0"/>
        <v>1.0009846451592948</v>
      </c>
    </row>
    <row r="64" spans="1:2" x14ac:dyDescent="0.4">
      <c r="A64">
        <v>504</v>
      </c>
      <c r="B64">
        <f t="shared" si="0"/>
        <v>1.000642976244507</v>
      </c>
    </row>
    <row r="65" spans="1:2" x14ac:dyDescent="0.4">
      <c r="A65">
        <v>512</v>
      </c>
      <c r="B65">
        <f t="shared" si="0"/>
        <v>1.0002828657014275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定时收割效率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acacia</dc:creator>
  <cp:lastModifiedBy>Acacia Meow</cp:lastModifiedBy>
  <dcterms:created xsi:type="dcterms:W3CDTF">2015-06-05T18:19:34Z</dcterms:created>
  <dcterms:modified xsi:type="dcterms:W3CDTF">2026-10-03T11:52:23Z</dcterms:modified>
</cp:coreProperties>
</file>