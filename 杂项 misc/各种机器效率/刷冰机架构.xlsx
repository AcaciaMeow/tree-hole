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Desktop\"/>
  <bookViews>
    <workbookView activeTab="0"/>
  </bookViews>
  <sheets>
    <sheet name="单层" sheetId="1" r:id="rId3"/>
  </sheets>
  <calcPr calcId="191029"/>
</workbook>
</file>

<file path=xl/sharedStrings.xml><?xml version="1.0" encoding="utf-8"?>
<sst xmlns="http://schemas.openxmlformats.org/spreadsheetml/2006/main" count="36" uniqueCount="36">
  <si>
    <t/>
  </si>
  <si>
    <t>模块信息</t>
  </si>
  <si>
    <t>飞行器信息</t>
  </si>
  <si>
    <t>漏冰情况</t>
  </si>
  <si>
    <t>72k自动计算</t>
  </si>
  <si>
    <t>72k面积利用率(Auto)</t>
  </si>
  <si>
    <t>多向</t>
  </si>
  <si>
    <t>上下</t>
  </si>
  <si>
    <t>面积利用率</t>
  </si>
  <si>
    <t>宽度</t>
  </si>
  <si>
    <t>长度</t>
  </si>
  <si>
    <t>推动上限</t>
  </si>
  <si>
    <t>组数</t>
  </si>
  <si>
    <t>组数(副)</t>
  </si>
  <si>
    <t>漏冰率</t>
  </si>
  <si>
    <t>每轮x个</t>
  </si>
  <si>
    <t>每轮漏n个</t>
  </si>
  <si>
    <t>每x漏一个</t>
  </si>
  <si>
    <t>实际效率</t>
  </si>
  <si>
    <t>结冰面积</t>
  </si>
  <si>
    <t>水源数量</t>
  </si>
  <si>
    <t>水源倍数</t>
  </si>
  <si>
    <t>单向</t>
  </si>
  <si>
    <t>上吸</t>
  </si>
  <si>
    <t>1/2</t>
  </si>
  <si>
    <t>OP_DIV</t>
  </si>
  <si>
    <t>2</t>
  </si>
  <si>
    <t>2/3</t>
  </si>
  <si>
    <t>2/4+1/4=3/4</t>
  </si>
  <si>
    <t>下推</t>
  </si>
  <si>
    <t>双向</t>
  </si>
  <si>
    <t>(Dynastice)</t>
  </si>
  <si>
    <t>72k面积利用相关(Auto)</t>
  </si>
  <si>
    <t>每x个漏一个</t>
  </si>
  <si>
    <t>72k整机（自动计算）</t>
  </si>
  <si>
    <t>72k整机（Auto）</t>
  </si>
</sst>
</file>

<file path=xl/styles.xml><?xml version="1.0" encoding="utf-8"?>
<styleSheet xmlns="http://schemas.openxmlformats.org/spreadsheetml/2006/main">
  <numFmts count="6">
    <numFmt numFmtId="300" formatCode="0.0000%"/>
    <numFmt numFmtId="301" formatCode="General"/>
    <numFmt numFmtId="302" formatCode="m&quot;月&quot;d&quot;日&quot;;@"/>
    <numFmt numFmtId="303" formatCode="@"/>
    <numFmt numFmtId="304" formatCode="0.00%"/>
    <numFmt numFmtId="305" formatCode="0%"/>
  </numFmts>
  <fonts count="37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1"/>
      <color rgb="FF000000"/>
    </font>
    <font>
      <name val="等线"/>
      <charset val="134"/>
      <family val="3"/>
      <b val="1"/>
      <color rgb="FF000000"/>
      <sz val="11"/>
    </font>
    <font>
      <name val="等线"/>
      <charset val="134"/>
      <family val="3"/>
      <b val="1"/>
      <color rgb="FF000000"/>
    </font>
    <font>
      <name val="等线"/>
      <b val="1"/>
      <color rgb="FF000000"/>
      <sz val="11"/>
    </font>
    <font>
      <name val="等线"/>
      <charset val="134"/>
      <family val="3"/>
      <b val="1"/>
      <color rgb="FF000000"/>
      <sz val="11"/>
      <scheme val="minor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name val="等线"/>
      <color rgb="FFFF0000"/>
      <sz val="11"/>
    </font>
    <font>
      <name val="等线"/>
      <charset val="134"/>
      <family val="3"/>
      <color rgb="FF00A3F5"/>
      <sz val="11"/>
    </font>
    <font>
      <name val="等线"/>
      <charset val="134"/>
      <family val="3"/>
      <color rgb="FFFF0000"/>
      <sz val="11"/>
      <scheme val="minor"/>
    </font>
    <font>
      <name val="等线"/>
      <color rgb="FF000000"/>
      <sz val="11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color rgb="FF00A3F5"/>
      <sz val="11"/>
      <scheme val="minor"/>
    </font>
    <font>
      <name val="等线"/>
      <color rgb="FF00A3F5"/>
      <sz val="11"/>
    </font>
    <font>
      <name val="等线"/>
      <charset val="134"/>
      <color rgb="FF000000"/>
      <sz val="11"/>
    </font>
    <font>
      <name val="等线"/>
      <charset val="134"/>
      <family val="3"/>
      <color rgb="FFBFBFBF"/>
      <sz val="11"/>
    </font>
    <font>
      <color rgb="FF000000"/>
    </font>
    <font>
      <name val="等线"/>
      <charset val="134"/>
      <family val="3"/>
    </font>
    <font>
      <name val="等线"/>
      <charset val="134"/>
      <family val="3"/>
      <b val="1"/>
      <color rgb="FF319B62"/>
      <sz val="11"/>
    </font>
    <font>
      <name val="等线"/>
      <charset val="134"/>
      <family val="3"/>
      <b val="1"/>
      <color rgb="FF319B62"/>
      <sz val="11"/>
      <scheme val="minor"/>
    </font>
    <font>
      <name val="等线"/>
      <b val="1"/>
      <color rgb="FF319B62"/>
      <sz val="11"/>
    </font>
    <font>
      <name val="等线"/>
      <charset val="134"/>
      <family val="3"/>
      <b val="1"/>
      <color rgb="FF00A3F5"/>
    </font>
    <font>
      <name val="等线"/>
      <b val="1"/>
      <color rgb="FF00A3F5"/>
      <sz val="11"/>
    </font>
    <font>
      <name val="等线"/>
      <charset val="134"/>
      <family val="3"/>
      <b val="1"/>
      <color rgb="FFA5A5A5"/>
      <sz val="11"/>
    </font>
    <font>
      <name val="等线"/>
      <charset val="134"/>
      <family val="3"/>
      <b val="1"/>
      <color rgb="FFA5A5A5"/>
      <sz val="11"/>
      <scheme val="minor"/>
    </font>
    <font>
      <name val="等线"/>
      <b val="1"/>
      <color rgb="FFA5A5A5"/>
      <sz val="11"/>
    </font>
    <font>
      <name val="等线"/>
      <charset val="134"/>
      <family val="3"/>
      <b val="1"/>
      <color rgb="FF939393"/>
      <sz val="11"/>
    </font>
    <font>
      <name val="等线"/>
      <charset val="134"/>
      <family val="3"/>
      <b val="1"/>
      <color rgb="FF939393"/>
      <sz val="11"/>
      <scheme val="minor"/>
    </font>
    <font>
      <name val="等线"/>
      <b val="1"/>
      <color rgb="FF939393"/>
      <sz val="11"/>
    </font>
    <font>
      <name val="等线"/>
      <b val="1"/>
      <color rgb="FFFFC000"/>
      <sz val="11"/>
    </font>
    <font>
      <name val="等线"/>
      <charset val="134"/>
      <family val="3"/>
      <b val="1"/>
      <sz val="11"/>
    </font>
    <font>
      <name val="等线"/>
      <charset val="134"/>
      <family val="3"/>
      <b val="1"/>
      <sz val="11"/>
      <scheme val="minor"/>
    </font>
    <font>
      <b val="1"/>
    </font>
    <font>
      <name val="等线"/>
      <family val="2"/>
      <color theme="1"/>
      <sz val="11"/>
      <scheme val="mino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</fills>
  <borders count="12">
    <border>
      <left/>
      <right/>
      <top/>
      <bottom/>
      <diagonal/>
    </border>
    <border/>
    <border/>
    <border/>
    <border>
      <left/>
      <right/>
      <top/>
      <bottom/>
    </border>
    <border>
      <left/>
      <right/>
      <top/>
      <bottom/>
      <diagonal/>
    </border>
    <border>
      <left/>
      <right/>
      <top/>
      <diagonal/>
    </border>
    <border/>
    <border>
      <left/>
      <right/>
    </border>
    <border>
      <left/>
      <right/>
      <bottom/>
    </border>
    <border/>
    <border>
      <diagonal/>
    </border>
  </borders>
  <cellStyleXfs>
    <xf numFmtId="301" fontId="36" fillId="0" borderId="5" xfId="0"/>
    <xf numFmtId="305" fontId="36" fillId="2" borderId="5" xfId="0" applyFon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0" borderId="1" xfId="0">
      <alignment horizontal="center" vertical="center"/>
    </xf>
    <xf numFmtId="49" fontId="4" fillId="2" borderId="1" xfId="0">
      <alignment horizontal="center" vertical="center"/>
    </xf>
    <xf fontId="0" fillId="0" borderId="2" xfId="0"/>
    <xf fontId="0" fillId="0" borderId="3" xfId="0"/>
    <xf numFmtId="300" fontId="5" fillId="2" borderId="3" xfId="0">
      <alignment horizontal="center"/>
    </xf>
    <xf numFmtId="0" fontId="4" fillId="2" borderId="2" xfId="0" applyNumberFormat="1" applyFont="1" applyFill="1" applyBorder="1" applyAlignment="1">
      <alignment horizontal="center" vertical="center"/>
    </xf>
    <xf numFmtId="0" fontId="6" fillId="3" borderId="5" xfId="0" applyNumberFormat="1" applyFont="1" applyFill="1" applyAlignment="1">
      <alignment horizontal="center" vertical="center"/>
    </xf>
    <xf numFmtId="0" fontId="6" fillId="2" borderId="0" xfId="0">
      <alignment horizontal="center" vertical="center"/>
    </xf>
    <xf numFmtId="0" fontId="4" fillId="2" borderId="4" xfId="0">
      <alignment horizontal="center" vertical="center"/>
    </xf>
    <xf numFmtId="0" fontId="7" fillId="2" borderId="5" xfId="0" applyNumberFormat="1" applyFont="1" applyFill="1" applyBorder="1" applyAlignment="1">
      <alignment horizontal="left" vertical="center"/>
    </xf>
    <xf numFmtId="49" fontId="7" fillId="2" borderId="5" xfId="0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300" fontId="6" fillId="3" borderId="5" xfId="0" applyNumberFormat="1" applyFont="1" applyFill="1" applyAlignment="1">
      <alignment horizontal="center" vertical="center"/>
    </xf>
    <xf numFmtId="59" fontId="6" fillId="3" borderId="0" xfId="0">
      <alignment horizontal="center" vertical="center"/>
    </xf>
    <xf numFmtId="0" fontId="6" fillId="3" borderId="0" xfId="0">
      <alignment horizontal="center" vertical="center"/>
    </xf>
    <xf numFmtId="60" fontId="6" fillId="2" borderId="0" xfId="0">
      <alignment horizontal="center" vertical="center"/>
    </xf>
    <xf numFmtId="60" fontId="6" fillId="3" borderId="5" xfId="0" applyNumberFormat="1" applyFont="1" applyFill="1" applyAlignment="1">
      <alignment horizontal="center" vertical="center"/>
    </xf>
    <xf numFmtId="0" fontId="8" fillId="4" borderId="1" xfId="0">
      <alignment horizontal="left" vertical="center"/>
    </xf>
    <xf numFmtId="49" fontId="9" fillId="2" borderId="1" xfId="0">
      <alignment horizontal="right" vertical="center"/>
    </xf>
    <xf numFmtId="0" fontId="9" fillId="2" borderId="6" xfId="0">
      <alignment horizontal="right" vertical="center"/>
    </xf>
    <xf numFmtId="0" fontId="10" fillId="3" borderId="0" xfId="0">
      <alignment horizontal="right" vertical="center"/>
    </xf>
    <xf numFmtId="0" fontId="9" fillId="2" borderId="5" xfId="0">
      <alignment horizontal="right" vertical="center"/>
    </xf>
    <xf numFmtId="300" fontId="10" fillId="4" borderId="5" xfId="1" applyNumberFormat="1" applyFont="1" applyFill="1" applyAlignment="1">
      <alignment horizontal="right" vertical="center"/>
    </xf>
    <xf numFmtId="0" fontId="9" fillId="4" borderId="5" xfId="0">
      <alignment horizontal="right" vertical="center"/>
    </xf>
    <xf numFmtId="0" fontId="11" fillId="4" borderId="5" xfId="0">
      <alignment horizontal="right" vertical="center"/>
    </xf>
    <xf numFmtId="59" fontId="10" fillId="2" borderId="0" xfId="0">
      <alignment horizontal="right" vertical="center"/>
    </xf>
    <xf numFmtId="0" fontId="10" fillId="2" borderId="0" xfId="0">
      <alignment horizontal="right" vertical="center"/>
    </xf>
    <xf numFmtId="60" fontId="10" fillId="2" borderId="0" xfId="0">
      <alignment horizontal="right" vertical="center"/>
    </xf>
    <xf fontId="0" fillId="0" borderId="7" xfId="0"/>
    <xf numFmtId="0" fontId="12" fillId="2" borderId="6" xfId="0" applyNumberFormat="1" applyFont="1" applyFill="1" applyBorder="1" applyAlignment="1">
      <alignment horizontal="right" vertical="center"/>
    </xf>
    <xf numFmtId="0" fontId="10" fillId="3" borderId="5" xfId="0" applyNumberFormat="1" applyFont="1" applyFill="1" applyAlignment="1">
      <alignment horizontal="right" vertical="center"/>
    </xf>
    <xf numFmtId="0" fontId="12" fillId="2" borderId="5" xfId="0" applyNumberFormat="1" applyFont="1" applyFill="1" applyBorder="1" applyAlignment="1">
      <alignment horizontal="right" vertical="center"/>
    </xf>
    <xf numFmtId="300" fontId="10" fillId="5" borderId="5" xfId="1" applyNumberFormat="1" applyFont="1" applyFill="1" applyAlignment="1">
      <alignment horizontal="right" vertical="center"/>
    </xf>
    <xf numFmtId="0" fontId="12" fillId="4" borderId="5" xfId="0" applyNumberFormat="1" applyFont="1" applyFill="1" applyBorder="1" applyAlignment="1">
      <alignment horizontal="right" vertical="center"/>
    </xf>
    <xf numFmtId="59" fontId="10" fillId="3" borderId="5" xfId="0" applyNumberFormat="1" applyFont="1" applyFill="1" applyAlignment="1">
      <alignment horizontal="right" vertical="center"/>
    </xf>
    <xf numFmtId="60" fontId="10" fillId="3" borderId="5" xfId="0" applyNumberFormat="1" applyFont="1" applyFill="1" applyAlignment="1">
      <alignment horizontal="right" vertical="center"/>
    </xf>
    <xf numFmtId="49" fontId="8" fillId="2" borderId="0" xfId="0">
      <alignment horizontal="right" vertical="center"/>
    </xf>
    <xf numFmtId="0" fontId="8" fillId="2" borderId="8" xfId="0">
      <alignment horizontal="right" vertical="center"/>
    </xf>
    <xf numFmtId="0" fontId="13" fillId="3" borderId="5" xfId="0" applyNumberFormat="1" applyFont="1" applyFill="1" applyAlignment="1">
      <alignment horizontal="right" vertical="center"/>
    </xf>
    <xf numFmtId="0" fontId="14" fillId="2" borderId="5" xfId="0" applyNumberFormat="1" applyFont="1" applyFill="1" applyBorder="1" applyAlignment="1">
      <alignment horizontal="right" vertical="center"/>
    </xf>
    <xf numFmtId="300" fontId="13" fillId="5" borderId="5" xfId="1" applyNumberFormat="1" applyFont="1" applyFill="1" applyAlignment="1">
      <alignment horizontal="right" vertical="center"/>
    </xf>
    <xf numFmtId="0" fontId="14" fillId="4" borderId="5" xfId="0" applyNumberFormat="1" applyFont="1" applyFill="1" applyBorder="1" applyAlignment="1">
      <alignment horizontal="right" vertical="center"/>
    </xf>
    <xf numFmtId="59" fontId="13" fillId="3" borderId="5" xfId="0" applyNumberFormat="1" applyFont="1" applyFill="1" applyAlignment="1">
      <alignment horizontal="right" vertical="center"/>
    </xf>
    <xf numFmtId="0" fontId="8" fillId="2" borderId="9" xfId="0">
      <alignment horizontal="right" vertical="center"/>
    </xf>
    <xf numFmtId="0" fontId="8" fillId="2" borderId="6" xfId="0">
      <alignment horizontal="right" vertical="center"/>
    </xf>
    <xf numFmtId="0" fontId="13" fillId="3" borderId="0" xfId="0">
      <alignment horizontal="right" vertical="center"/>
    </xf>
    <xf numFmtId="0" fontId="13" fillId="2" borderId="0" xfId="0">
      <alignment horizontal="right" vertical="center"/>
    </xf>
    <xf numFmtId="0" fontId="8" fillId="2" borderId="5" xfId="0">
      <alignment horizontal="right" vertical="center"/>
    </xf>
    <xf fontId="0" fillId="0" borderId="10" xfId="0"/>
    <xf numFmtId="301" fontId="14" fillId="2" borderId="5" xfId="0" applyNumberFormat="1" applyFont="1" applyFill="1" applyBorder="1" applyAlignment="1">
      <alignment horizontal="right" vertical="center"/>
    </xf>
    <xf numFmtId="0" fontId="14" fillId="2" borderId="5" xfId="0" applyNumberFormat="1" applyFont="1" applyFill="1" applyBorder="1" applyAlignment="1">
      <alignment horizontal="left" vertical="center"/>
    </xf>
    <xf numFmtId="0" fontId="8" fillId="2" borderId="1" xfId="0">
      <alignment horizontal="left" vertical="center"/>
    </xf>
    <xf numFmtId="49" fontId="8" fillId="2" borderId="1" xfId="0">
      <alignment horizontal="right" vertical="center"/>
    </xf>
    <xf numFmtId="0" fontId="8" fillId="2" borderId="1" xfId="0">
      <alignment horizontal="right" vertical="center"/>
    </xf>
    <xf numFmtId="0" fontId="11" fillId="4" borderId="1" xfId="0">
      <alignment horizontal="right" vertical="center"/>
    </xf>
    <xf numFmtId="0" fontId="14" fillId="4" borderId="6" xfId="0" applyNumberFormat="1" applyFont="1" applyFill="1" applyBorder="1" applyAlignment="1">
      <alignment horizontal="left" vertical="center"/>
    </xf>
    <xf numFmtId="0" fontId="14" fillId="4" borderId="11" xfId="0">
      <alignment horizontal="left" vertical="center"/>
    </xf>
    <xf numFmtId="49" fontId="11" fillId="2" borderId="1" xfId="0">
      <alignment horizontal="right" vertical="center"/>
    </xf>
    <xf numFmtId="0" fontId="15" fillId="2" borderId="11" xfId="0">
      <alignment horizontal="right" vertical="center"/>
    </xf>
    <xf numFmtId="0" fontId="16" fillId="5" borderId="0" xfId="0">
      <alignment horizontal="right" vertical="center"/>
    </xf>
    <xf numFmtId="0" fontId="16" fillId="3" borderId="5" xfId="0" applyNumberFormat="1" applyFont="1" applyFill="1" applyAlignment="1">
      <alignment horizontal="right" vertical="center"/>
    </xf>
    <xf numFmtId="0" fontId="15" fillId="4" borderId="11" xfId="0">
      <alignment horizontal="right" vertical="center"/>
    </xf>
    <xf numFmtId="0" fontId="11" fillId="4" borderId="11" xfId="0">
      <alignment horizontal="right" vertical="center"/>
    </xf>
    <xf numFmtId="300" fontId="16" fillId="5" borderId="5" xfId="1" applyNumberFormat="1" applyFont="1" applyFill="1" applyAlignment="1">
      <alignment horizontal="right" vertical="center"/>
    </xf>
    <xf numFmtId="59" fontId="16" fillId="3" borderId="5" xfId="0" applyNumberFormat="1" applyFont="1" applyFill="1" applyAlignment="1">
      <alignment horizontal="right" vertical="center"/>
    </xf>
    <xf numFmtId="0" fontId="8" fillId="2" borderId="7" xfId="0">
      <alignment horizontal="right" vertical="center"/>
    </xf>
    <xf numFmtId="0" fontId="13" fillId="5" borderId="0" xfId="0">
      <alignment horizontal="right" vertical="center"/>
    </xf>
    <xf numFmtId="0" fontId="14" fillId="4" borderId="11" xfId="0">
      <alignment horizontal="right" vertical="center"/>
    </xf>
    <xf numFmtId="0" fontId="8" fillId="2" borderId="10" xfId="0">
      <alignment horizontal="right" vertical="center"/>
    </xf>
    <xf numFmtId="0" fontId="17" fillId="2" borderId="0" xfId="0">
      <alignment horizontal="right" vertical="center"/>
    </xf>
    <xf numFmtId="300" fontId="13" fillId="4" borderId="5" xfId="1" applyNumberFormat="1" applyFont="1" applyFill="1" applyAlignment="1">
      <alignment horizontal="right" vertical="center"/>
    </xf>
    <xf numFmtId="59" fontId="13" fillId="2" borderId="0" xfId="0">
      <alignment horizontal="right" vertical="center"/>
    </xf>
    <xf numFmtId="0" fontId="13" fillId="4" borderId="0" xfId="0">
      <alignment horizontal="right" vertical="center"/>
    </xf>
    <xf numFmtId="0" fontId="14" fillId="2" borderId="11" xfId="0">
      <alignment horizontal="right" vertical="center"/>
    </xf>
    <xf numFmtId="0" fontId="18" fillId="4" borderId="1" xfId="0">
      <alignment horizontal="left" vertical="center"/>
    </xf>
    <xf numFmtId="49" fontId="4" fillId="6" borderId="0" xfId="0">
      <alignment horizontal="right" vertical="center"/>
    </xf>
    <xf numFmtId="0" fontId="4" fillId="6" borderId="1" xfId="0">
      <alignment horizontal="right" vertical="center"/>
    </xf>
    <xf numFmtId="0" fontId="6" fillId="6" borderId="0" xfId="0">
      <alignment horizontal="right" vertical="center"/>
    </xf>
    <xf numFmtId="0" fontId="4" fillId="6" borderId="11" xfId="0">
      <alignment horizontal="right" vertical="center"/>
    </xf>
    <xf numFmtId="300" fontId="6" fillId="6" borderId="5" xfId="1" applyNumberFormat="1" applyFont="1" applyFill="1" applyAlignment="1">
      <alignment horizontal="right" vertical="center"/>
    </xf>
    <xf numFmtId="0" fontId="4" fillId="4" borderId="11" xfId="0">
      <alignment horizontal="right" vertical="center"/>
    </xf>
    <xf numFmtId="59" fontId="6" fillId="2" borderId="0" xfId="0">
      <alignment horizontal="right" vertical="center"/>
    </xf>
    <xf numFmtId="0" fontId="6" fillId="4" borderId="0" xfId="0">
      <alignment horizontal="right" vertical="center"/>
    </xf>
    <xf numFmtId="0" fontId="4" fillId="2" borderId="0" xfId="0">
      <alignment horizontal="right" vertical="center"/>
    </xf>
    <xf numFmtId="49" fontId="8" fillId="6" borderId="0" xfId="0">
      <alignment horizontal="right" vertical="center"/>
    </xf>
    <xf numFmtId="0" fontId="8" fillId="6" borderId="1" xfId="0">
      <alignment horizontal="right" vertical="center"/>
    </xf>
    <xf numFmtId="0" fontId="13" fillId="7" borderId="0" xfId="0">
      <alignment horizontal="right" vertical="center"/>
    </xf>
    <xf numFmtId="0" fontId="8" fillId="6" borderId="11" xfId="0">
      <alignment horizontal="right" vertical="center"/>
    </xf>
    <xf numFmtId="300" fontId="13" fillId="6" borderId="5" xfId="1" applyNumberFormat="1" applyFont="1" applyFill="1" applyAlignment="1">
      <alignment horizontal="right" vertical="center"/>
    </xf>
    <xf numFmtId="59" fontId="13" fillId="6" borderId="0" xfId="0">
      <alignment horizontal="right" vertical="center"/>
    </xf>
    <xf numFmtId="0" fontId="13" fillId="6" borderId="0" xfId="0">
      <alignment horizontal="right" vertical="center"/>
    </xf>
    <xf numFmtId="0" fontId="4" fillId="2" borderId="4" xfId="0">
      <alignment horizontal="right" vertical="center"/>
    </xf>
    <xf numFmtId="49" fontId="4" fillId="2" borderId="0" xfId="0">
      <alignment horizontal="right" vertical="center"/>
    </xf>
    <xf numFmtId="0" fontId="4" fillId="2" borderId="7" xfId="0">
      <alignment horizontal="right" vertical="center"/>
    </xf>
    <xf numFmtId="0" fontId="6" fillId="5" borderId="0" xfId="0">
      <alignment horizontal="right" vertical="center"/>
    </xf>
    <xf numFmtId="0" fontId="6" fillId="3" borderId="5" xfId="0" applyNumberFormat="1" applyFont="1" applyFill="1" applyAlignment="1">
      <alignment horizontal="right" vertical="center"/>
    </xf>
    <xf numFmtId="0" fontId="7" fillId="4" borderId="11" xfId="0">
      <alignment horizontal="right" vertical="center"/>
    </xf>
    <xf numFmtId="300" fontId="6" fillId="5" borderId="5" xfId="1" applyNumberFormat="1" applyFont="1" applyFill="1" applyAlignment="1">
      <alignment horizontal="right" vertical="center"/>
    </xf>
    <xf numFmtId="59" fontId="6" fillId="3" borderId="5" xfId="0" applyNumberFormat="1" applyFont="1" applyFill="1" applyAlignment="1">
      <alignment horizontal="right" vertical="center"/>
    </xf>
    <xf numFmtId="49" fontId="6" fillId="3" borderId="0" xfId="0">
      <alignment horizontal="right" vertical="center"/>
    </xf>
    <xf numFmtId="0" fontId="6" fillId="3" borderId="0" xfId="0">
      <alignment horizontal="right" vertical="center"/>
    </xf>
    <xf fontId="4" fillId="2" borderId="4" xfId="0">
      <alignment horizontal="right" vertical="center"/>
    </xf>
    <xf numFmtId="300" fontId="6" fillId="3" borderId="0" xfId="0">
      <alignment horizontal="right" vertical="center"/>
    </xf>
    <xf fontId="0" fillId="0" borderId="8" xfId="0"/>
    <xf numFmtId="0" fontId="14" fillId="2" borderId="5" xfId="0">
      <alignment horizontal="right" vertical="center"/>
    </xf>
    <xf numFmtId="49" fontId="13" fillId="5" borderId="0" xfId="0">
      <alignment horizontal="right" vertical="center"/>
    </xf>
    <xf numFmtId="0" fontId="17" fillId="5" borderId="0" xfId="0">
      <alignment horizontal="right" vertical="center"/>
    </xf>
    <xf numFmtId="0" fontId="8" fillId="4" borderId="11" xfId="0">
      <alignment horizontal="right" vertical="center"/>
    </xf>
    <xf numFmtId="300" fontId="19" fillId="0" borderId="0" xfId="0">
      <alignment horizontal="right" vertical="center"/>
    </xf>
    <xf numFmtId="59" fontId="19" fillId="0" borderId="0" xfId="0"/>
    <xf numFmtId="60" fontId="19" fillId="0" borderId="0" xfId="0"/>
    <xf numFmtId="302" fontId="13" fillId="3" borderId="5" xfId="0" applyNumberFormat="1" applyFont="1" applyFill="1" applyAlignment="1">
      <alignment horizontal="right" vertical="center"/>
    </xf>
    <xf numFmtId="60" fontId="13" fillId="2" borderId="0" xfId="0">
      <alignment horizontal="right" vertical="center"/>
    </xf>
    <xf numFmtId="60" fontId="13" fillId="3" borderId="5" xfId="0" applyNumberFormat="1" applyFont="1" applyFill="1" applyAlignment="1">
      <alignment horizontal="right" vertical="center"/>
    </xf>
    <xf numFmtId="0" fontId="20" fillId="2" borderId="4" xfId="0" applyNumberFormat="1" applyFont="1" applyFill="1" applyBorder="1" applyAlignment="1">
      <alignment horizontal="right" vertical="center"/>
    </xf>
    <xf numFmtId="0" fontId="21" fillId="2" borderId="2" xfId="0" applyNumberFormat="1" applyFont="1" applyFill="1" applyBorder="1" applyAlignment="1">
      <alignment horizontal="center" vertical="center"/>
    </xf>
    <xf numFmtId="0" fontId="22" fillId="2" borderId="5" xfId="0" applyNumberFormat="1" applyFont="1" applyFill="1" applyBorder="1" applyAlignment="1">
      <alignment horizontal="center" vertical="center"/>
    </xf>
    <xf numFmtId="59" fontId="23" fillId="3" borderId="0" xfId="0">
      <alignment horizontal="center" vertical="center"/>
    </xf>
    <xf numFmtId="300" fontId="24" fillId="2" borderId="3" xfId="0">
      <alignment horizontal="center"/>
    </xf>
    <xf numFmtId="300" fontId="25" fillId="3" borderId="5" xfId="0" applyNumberFormat="1" applyFont="1" applyFill="1" applyAlignment="1">
      <alignment horizontal="center" vertical="center"/>
    </xf>
    <xf numFmtId="49" fontId="26" fillId="2" borderId="1" xfId="0">
      <alignment horizontal="center" vertical="center"/>
    </xf>
    <xf numFmtId="0" fontId="27" fillId="2" borderId="5" xfId="0" applyNumberFormat="1" applyFont="1" applyFill="1" applyBorder="1" applyAlignment="1">
      <alignment horizontal="center" vertical="center"/>
    </xf>
    <xf numFmtId="0" fontId="28" fillId="3" borderId="5" xfId="0" applyNumberFormat="1" applyFont="1" applyFill="1" applyAlignment="1">
      <alignment horizontal="center" vertical="center"/>
    </xf>
    <xf numFmtId="49" fontId="29" fillId="2" borderId="1" xfId="0">
      <alignment horizontal="center" vertical="center"/>
    </xf>
    <xf numFmtId="0" fontId="30" fillId="2" borderId="5" xfId="0" applyNumberFormat="1" applyFont="1" applyFill="1" applyBorder="1" applyAlignment="1">
      <alignment horizontal="center" vertical="center"/>
    </xf>
    <xf numFmtId="0" fontId="31" fillId="3" borderId="5" xfId="0" applyNumberFormat="1" applyFont="1" applyFill="1" applyAlignment="1">
      <alignment horizontal="center" vertical="center"/>
    </xf>
    <xf numFmtId="0" fontId="32" fillId="3" borderId="5" xfId="0" applyNumberFormat="1" applyFont="1" applyFill="1" applyAlignment="1">
      <alignment horizontal="center" vertical="center"/>
    </xf>
    <xf numFmtId="0" fontId="32" fillId="3" borderId="0" xfId="0">
      <alignment horizontal="center" vertical="center"/>
    </xf>
    <xf numFmtId="60" fontId="32" fillId="2" borderId="0" xfId="0">
      <alignment horizontal="center" vertical="center"/>
    </xf>
    <xf numFmtId="60" fontId="32" fillId="3" borderId="5" xfId="0" applyNumberFormat="1" applyFont="1" applyFill="1" applyAlignment="1">
      <alignment horizontal="center" vertical="center"/>
    </xf>
    <xf numFmtId="60" fontId="16" fillId="2" borderId="0" xfId="0">
      <alignment horizontal="right" vertical="center"/>
    </xf>
    <xf numFmtId="60" fontId="16" fillId="3" borderId="5" xfId="0" applyNumberFormat="1" applyFont="1" applyFill="1" applyAlignment="1">
      <alignment horizontal="right" vertical="center"/>
    </xf>
    <xf numFmtId="301" fontId="33" fillId="2" borderId="4" xfId="0" applyNumberFormat="1" applyFont="1" applyFill="1" applyBorder="1" applyAlignment="1">
      <alignment horizontal="center" vertical="center"/>
    </xf>
    <xf numFmtId="301" fontId="34" fillId="2" borderId="5" xfId="0" applyNumberFormat="1" applyFont="1" applyFill="1" applyBorder="1" applyAlignment="1">
      <alignment horizontal="center" vertical="center"/>
    </xf>
    <xf fontId="35" fillId="0" borderId="0" xfId="0"/>
    <xf numFmtId="301" fontId="14" fillId="2" borderId="5" xfId="0" applyNumberFormat="1" applyFont="1" applyFill="1" applyBorder="1" applyAlignment="1">
      <alignment horizontal="left" vertical="center"/>
    </xf>
    <xf numFmtId="303" fontId="8" fillId="2" borderId="4" xfId="0" applyNumberFormat="1" applyFont="1" applyFill="1" applyBorder="1" applyAlignment="1">
      <alignment horizontal="right" vertical="center"/>
    </xf>
    <xf numFmtId="301" fontId="8" fillId="2" borderId="4" xfId="0" applyNumberFormat="1" applyFont="1" applyFill="1" applyBorder="1" applyAlignment="1">
      <alignment horizontal="right" vertical="center"/>
    </xf>
    <xf numFmtId="304" fontId="8" fillId="2" borderId="4" xfId="0" applyNumberFormat="1" applyFont="1" applyFill="1" applyBorder="1" applyAlignment="1">
      <alignment horizontal="right" vertical="center"/>
    </xf>
    <xf numFmtId="301" fontId="8" fillId="2" borderId="4" xfId="0" applyFont="1" applyFill="1" applyBorder="1" applyAlignment="1">
      <alignment horizontal="right" vertical="center"/>
    </xf>
  </cellXfs>
  <cellStyles>
    <cellStyle name="常规" xfId="0" builtinId="0"/>
    <cellStyle name="百分比" xfId="1" builtinId="5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单层"/>
  <dimension ref="Z206"/>
  <sheetViews>
    <sheetView showGridLines="1" tabSelected="0" workbookViewId="0">
      <pane ySplit="2" topLeftCell="A3" state="frozen"/>
    </sheetView>
  </sheetViews>
  <sheetFormatPr baseColWidth="8" defaultRowHeight="13.8"/>
  <cols>
    <col min="1" max="1" width="7.55469" style="139" bestFit="1" customWidth="1"/>
    <col min="2" max="2" width="5.55469" style="139" bestFit="1" customWidth="1"/>
    <col min="3" max="3" width="10.793" style="140" bestFit="1" customWidth="1"/>
    <col min="4" max="4" width="5.55469" style="53" bestFit="1" customWidth="1"/>
    <col min="5" max="5" width="5.55469" style="141" bestFit="1" customWidth="1"/>
    <col min="6" max="6" width="9.55469" style="141" bestFit="1" customWidth="1"/>
    <col min="7" max="7" width="5.76172" style="53" bestFit="1" customWidth="1"/>
    <col min="8" max="8" width="8.21094" style="141" bestFit="1" customWidth="1"/>
    <col min="9" max="9" width="12.3828" style="142" bestFit="1" customWidth="1"/>
    <col min="10" max="10" width="7.72266" style="53" bestFit="1" customWidth="1"/>
    <col min="11" max="11" width="10.4219" style="141" bestFit="1" customWidth="1"/>
    <col min="12" max="12" width="11.5312" style="53" bestFit="1" customWidth="1"/>
    <col min="13" max="13" width="8.83203" style="143" bestFit="1" customWidth="1"/>
    <col min="14" max="14" width="8.33984" style="141" bestFit="1" customWidth="1"/>
    <col min="15" max="15" width="8.83203" style="143" bestFit="1" customWidth="1"/>
    <col min="16" max="16" width="7.85156" style="141" bestFit="1" customWidth="1"/>
    <col min="17" max="17" width="13.4922" style="53" customWidth="1"/>
    <col min="18" max="28" width="8.88672" style="53"/>
  </cols>
  <sheetData>
    <row r="1" spans="1:28" s="136" customFormat="1">
      <c r="A1" s="4" t="s">
        <v>1</v>
      </c>
      <c r="D1" s="127" t="s">
        <v>2</v>
      </c>
      <c r="E1" s="6" t="s"/>
      <c r="F1" s="6" t="s"/>
      <c r="G1" s="6" t="s"/>
      <c r="H1" s="7" t="s"/>
      <c r="I1" s="122" t="s">
        <v>3</v>
      </c>
      <c r="J1" s="119" t="s">
        <v>35</v>
      </c>
      <c r="K1" s="6" t="s"/>
      <c r="L1" s="6" t="s"/>
      <c r="M1" s="7" t="s"/>
      <c r="N1" s="130" t="s">
        <v>32</v>
      </c>
      <c r="O1" s="11" t="s"/>
      <c r="Q1" s="12" t="s"/>
      <c r="R1" s="12" t="s"/>
      <c r="S1" s="12" t="s"/>
      <c r="T1" s="12" t="s"/>
      <c r="U1" s="12" t="s"/>
      <c r="V1" s="12" t="s"/>
      <c r="W1" s="12" t="s"/>
      <c r="X1" s="12" t="s"/>
      <c r="Y1" s="12" t="s"/>
      <c r="Z1" s="12" t="s"/>
      <c r="AA1" s="12" t="s"/>
      <c r="AB1" s="12" t="s"/>
    </row>
    <row r="2" spans="1:28" s="137" customFormat="1">
      <c r="A2" s="13" t="s">
        <v>6</v>
      </c>
      <c r="B2" s="13" t="s">
        <v>7</v>
      </c>
      <c r="C2" s="14" t="s">
        <v>8</v>
      </c>
      <c r="D2" s="128" t="s">
        <v>9</v>
      </c>
      <c r="E2" s="129" t="s">
        <v>10</v>
      </c>
      <c r="F2" s="129" t="s">
        <v>11</v>
      </c>
      <c r="G2" s="128" t="s">
        <v>12</v>
      </c>
      <c r="H2" s="128" t="s">
        <v>13</v>
      </c>
      <c r="I2" s="123" t="s">
        <v>14</v>
      </c>
      <c r="J2" s="120" t="s">
        <v>15</v>
      </c>
      <c r="K2" s="120" t="s">
        <v>16</v>
      </c>
      <c r="L2" s="120" t="s">
        <v>33</v>
      </c>
      <c r="M2" s="121" t="s">
        <v>18</v>
      </c>
      <c r="N2" s="131" t="s">
        <v>19</v>
      </c>
      <c r="O2" s="132" t="s">
        <v>20</v>
      </c>
      <c r="P2" s="133" t="s">
        <v>21</v>
      </c>
      <c r="Q2" s="12" t="s"/>
      <c r="R2" s="12" t="s"/>
      <c r="S2" s="12" t="s"/>
      <c r="T2" s="12" t="s"/>
      <c r="U2" s="12" t="s"/>
      <c r="V2" s="12" t="s"/>
      <c r="W2" s="12" t="s"/>
      <c r="X2" s="12" t="s"/>
      <c r="Y2" s="12" t="s"/>
      <c r="Z2" s="12" t="s"/>
      <c r="AA2" s="12" t="s"/>
      <c r="AB2" s="12" t="s"/>
    </row>
    <row r="3" spans="1:16">
      <c r="A3" s="21" t="s">
        <v>22</v>
      </c>
      <c r="B3" s="21" t="s">
        <v>23</v>
      </c>
      <c r="C3" s="22" t="s">
        <v>24</v>
      </c>
      <c r="D3" s="23">
        <v>4</v>
      </c>
      <c r="E3" s="24">
        <v>63</v>
      </c>
      <c r="F3" s="24">
        <v>12</v>
      </c>
      <c r="G3" s="25">
        <v>12</v>
      </c>
      <c r="H3" s="25" t="s"/>
      <c r="I3" s="26">
        <v>0</v>
      </c>
      <c r="J3" s="27">
        <f>=5*2*F3*(G3+H3)</f>
        <v>1440</v>
      </c>
      <c r="K3" s="28">
        <f>=ROUNDUP(J3*I3,0)</f>
        <v>0</v>
      </c>
      <c r="L3" s="25" t="e">
        <f>=1/I3</f>
        <v>#DIV/0!</v>
      </c>
      <c r="M3" s="29">
        <f>=72000*(1-I3)</f>
        <v>72000</v>
      </c>
      <c r="N3" s="30">
        <f>=D3*G3*E3*5</f>
        <v>15120</v>
      </c>
      <c r="O3" s="116">
        <f>=E3*2*((G3+H3)*5)</f>
        <v>7560</v>
      </c>
      <c r="P3" s="116">
        <f>=O3/4096</f>
        <v>1.845703125</v>
      </c>
    </row>
    <row r="4" spans="1:16">
      <c r="A4" s="32" t="s"/>
      <c r="B4" s="32" t="s"/>
      <c r="C4" s="22" t="s">
        <v>27</v>
      </c>
      <c r="D4" s="33">
        <v>3</v>
      </c>
      <c r="E4" s="34">
        <v>63</v>
      </c>
      <c r="F4" s="34">
        <v>12</v>
      </c>
      <c r="G4" s="35">
        <v>12</v>
      </c>
      <c r="H4" s="35" t="s"/>
      <c r="I4" s="36">
        <v>0</v>
      </c>
      <c r="J4" s="37">
        <f>=5*2*F4*(G4+H4)</f>
        <v>1440</v>
      </c>
      <c r="K4" s="28">
        <f>=ROUNDUP(J4*I4,0)</f>
        <v>0</v>
      </c>
      <c r="L4" s="35" t="e">
        <f>=1/I4</f>
        <v>#DIV/0!</v>
      </c>
      <c r="M4" s="38">
        <f>=72000*(1-I4)</f>
        <v>72000</v>
      </c>
      <c r="N4" s="34">
        <f>=D4*G4*E4*5</f>
        <v>11340</v>
      </c>
      <c r="O4" s="116">
        <f>=E4*2*((G4+H4)*5)</f>
        <v>7560</v>
      </c>
      <c r="P4" s="117">
        <f>=O4/4096</f>
        <v>1.845703125</v>
      </c>
    </row>
    <row r="5" spans="1:16">
      <c r="A5" s="32" t="s"/>
      <c r="B5" s="32" t="s"/>
      <c r="C5" s="40" t="s">
        <v>27</v>
      </c>
      <c r="D5" s="41">
        <v>3</v>
      </c>
      <c r="E5" s="42">
        <v>52</v>
      </c>
      <c r="F5" s="42">
        <v>10</v>
      </c>
      <c r="G5" s="43">
        <v>12</v>
      </c>
      <c r="H5" s="43" t="s"/>
      <c r="I5" s="44">
        <v>0.00555555555555554</v>
      </c>
      <c r="J5" s="45">
        <f>=5*2*F5*(G5+H5)</f>
        <v>1200</v>
      </c>
      <c r="K5" s="28">
        <f>=ROUNDUP(J5*I5,0)</f>
        <v>7</v>
      </c>
      <c r="L5" s="43">
        <f>=1/I5</f>
        <v>180.000000000001</v>
      </c>
      <c r="M5" s="46">
        <f>=72000*(1-I5)</f>
        <v>71600</v>
      </c>
      <c r="N5" s="42">
        <f>=D5*G5*E5*5</f>
        <v>9360</v>
      </c>
      <c r="O5" s="116">
        <f>=E5*2*((G5+H5)*5)</f>
        <v>6240</v>
      </c>
      <c r="P5" s="116">
        <f>=O5/4096</f>
        <v>1.5234375</v>
      </c>
    </row>
    <row r="6" spans="1:16">
      <c r="A6" s="32" t="s"/>
      <c r="B6" s="32" t="s"/>
      <c r="C6" s="40" t="s">
        <v>27</v>
      </c>
      <c r="D6" s="41">
        <v>3</v>
      </c>
      <c r="E6" s="42">
        <v>52</v>
      </c>
      <c r="F6" s="42">
        <v>11</v>
      </c>
      <c r="G6" s="43">
        <v>11</v>
      </c>
      <c r="H6" s="43" t="s"/>
      <c r="I6" s="44">
        <v>0.03125</v>
      </c>
      <c r="J6" s="45">
        <f>=5*2*F6*(G6+H6)</f>
        <v>1210</v>
      </c>
      <c r="K6" s="28">
        <f>=ROUNDUP(J6*I6,0)</f>
        <v>38</v>
      </c>
      <c r="L6" s="43">
        <f>=1/I6</f>
        <v>32</v>
      </c>
      <c r="M6" s="46">
        <f>=72000*(1-I6)</f>
        <v>69750</v>
      </c>
      <c r="N6" s="42">
        <f>=D6*G6*E6*5</f>
        <v>8580</v>
      </c>
      <c r="O6" s="116">
        <f>=E6*2*((G6+H6)*5)</f>
        <v>5720</v>
      </c>
      <c r="P6" s="117">
        <f>=O6/4096</f>
        <v>1.396484375</v>
      </c>
    </row>
    <row r="7" spans="1:16">
      <c r="A7" s="32" t="s"/>
      <c r="B7" s="32" t="s"/>
      <c r="C7" s="40" t="s">
        <v>27</v>
      </c>
      <c r="D7" s="47">
        <v>3</v>
      </c>
      <c r="E7" s="42">
        <v>51</v>
      </c>
      <c r="F7" s="42">
        <v>12</v>
      </c>
      <c r="G7" s="43">
        <v>10</v>
      </c>
      <c r="H7" s="43" t="s"/>
      <c r="I7" s="44">
        <v>0.102083333333333</v>
      </c>
      <c r="J7" s="45">
        <f>=5*2*F7*(G7+H7)</f>
        <v>1200</v>
      </c>
      <c r="K7" s="28">
        <f>=ROUNDUP(J7*I7,0)</f>
        <v>123</v>
      </c>
      <c r="L7" s="43">
        <f>=1/I7</f>
        <v>9.79591836734694</v>
      </c>
      <c r="M7" s="46">
        <f>=72000*(1-I7)</f>
        <v>64650</v>
      </c>
      <c r="N7" s="42">
        <f>=D7*G7*E7*5</f>
        <v>7650</v>
      </c>
      <c r="O7" s="116">
        <f>=E7*2*((G7+H7)*5)</f>
        <v>5100</v>
      </c>
      <c r="P7" s="117">
        <f>=O7/4096</f>
        <v>1.2451171875</v>
      </c>
    </row>
    <row r="8" spans="1:16">
      <c r="A8" s="32" t="s"/>
      <c r="B8" s="32" t="s"/>
      <c r="C8" s="40" t="s">
        <v>28</v>
      </c>
      <c r="D8" s="48">
        <v>4</v>
      </c>
      <c r="E8" s="49">
        <v>63</v>
      </c>
      <c r="F8" s="50">
        <v>12</v>
      </c>
      <c r="G8" s="51">
        <v>6</v>
      </c>
      <c r="H8" s="51">
        <v>6</v>
      </c>
      <c r="I8" s="44">
        <v>0</v>
      </c>
      <c r="J8" s="51">
        <f>=5*2*F8*(G8+H8)</f>
        <v>1440</v>
      </c>
      <c r="K8" s="28">
        <f>=ROUNDUP(J8*I8,0)</f>
        <v>0</v>
      </c>
      <c r="L8" s="51" t="e">
        <f>=1/I8</f>
        <v>#DIV/0!</v>
      </c>
      <c r="M8" s="46">
        <f>=72000*(1-I8)</f>
        <v>72000</v>
      </c>
      <c r="N8" s="49">
        <f>=D8*G8*E8*5</f>
        <v>7560</v>
      </c>
      <c r="O8" s="116">
        <f>=E8*2*((G8+H8)*5)</f>
        <v>7560</v>
      </c>
      <c r="P8" s="117">
        <f>=O8/4096</f>
        <v>1.845703125</v>
      </c>
    </row>
    <row r="9" spans="1:28">
      <c r="A9" s="52" t="s"/>
      <c r="B9" s="52" t="s"/>
      <c r="C9" s="40" t="s">
        <v>28</v>
      </c>
      <c r="D9" s="47">
        <v>4</v>
      </c>
      <c r="E9" s="49">
        <v>52</v>
      </c>
      <c r="F9" s="50">
        <v>10</v>
      </c>
      <c r="G9" s="51">
        <v>6</v>
      </c>
      <c r="H9" s="51">
        <v>6</v>
      </c>
      <c r="I9" s="44">
        <v>0.00555555555555554</v>
      </c>
      <c r="J9" s="51">
        <f>=5*2*F9*(G9+H9)</f>
        <v>1200</v>
      </c>
      <c r="K9" s="28">
        <f>=ROUNDUP(J9*I9,0)</f>
        <v>7</v>
      </c>
      <c r="L9" s="51">
        <f>=1/I9</f>
        <v>180.000000000001</v>
      </c>
      <c r="M9" s="46">
        <f>=72000*(1-I9)</f>
        <v>71600</v>
      </c>
      <c r="N9" s="49">
        <f>=D9*G9*E9*5</f>
        <v>6240</v>
      </c>
      <c r="O9" s="116">
        <f>=E9*2*((G9+H9)*5)</f>
        <v>6240</v>
      </c>
      <c r="P9" s="117">
        <f>=O9/4096</f>
        <v>1.5234375</v>
      </c>
      <c r="Q9" s="53" t="s"/>
      <c r="R9" s="53" t="s"/>
      <c r="S9" s="53" t="s"/>
      <c r="T9" s="53" t="s"/>
      <c r="U9" s="53" t="s"/>
      <c r="V9" s="53" t="s"/>
      <c r="W9" s="53" t="s"/>
      <c r="X9" s="53" t="s"/>
      <c r="Y9" s="53" t="s"/>
      <c r="Z9" s="53" t="s"/>
      <c r="AA9" s="53" t="s"/>
      <c r="AB9" s="53" t="s"/>
    </row>
    <row r="10" spans="1:16">
      <c r="A10" s="54" t="s"/>
      <c r="B10" s="55" t="s"/>
      <c r="C10" s="56" t="s"/>
      <c r="D10" s="57" t="s"/>
      <c r="E10" s="50" t="s"/>
      <c r="F10" s="50" t="s"/>
      <c r="G10" s="57" t="s"/>
      <c r="H10" s="57" t="s"/>
      <c r="I10" s="44" t="s"/>
      <c r="J10" s="57" t="s"/>
      <c r="K10" s="58" t="s"/>
      <c r="L10" s="57" t="s"/>
      <c r="M10" s="46" t="s"/>
      <c r="N10" s="49" t="s"/>
      <c r="O10" s="116" t="s"/>
      <c r="P10" s="117" t="s"/>
    </row>
    <row r="11" spans="1:16">
      <c r="A11" s="59" t="s">
        <v>22</v>
      </c>
      <c r="B11" s="60" t="s">
        <v>29</v>
      </c>
      <c r="C11" s="61" t="s">
        <v>24</v>
      </c>
      <c r="D11" s="62">
        <v>4</v>
      </c>
      <c r="E11" s="63">
        <v>54</v>
      </c>
      <c r="F11" s="64">
        <v>12</v>
      </c>
      <c r="G11" s="65">
        <v>10</v>
      </c>
      <c r="H11" s="66" t="s"/>
      <c r="I11" s="67">
        <v>0.0152777777777777</v>
      </c>
      <c r="J11" s="65">
        <f>=5*2*F11*(G11+H11)</f>
        <v>1200</v>
      </c>
      <c r="K11" s="58">
        <f>=ROUNDUP(J11*I11,0)</f>
        <v>19</v>
      </c>
      <c r="L11" s="65">
        <f>=1/I11</f>
        <v>65.4545454545457</v>
      </c>
      <c r="M11" s="68">
        <f>=72000*(1-I11)</f>
        <v>70900</v>
      </c>
      <c r="N11" s="63">
        <f>=D11*G11*E11*5</f>
        <v>10800</v>
      </c>
      <c r="O11" s="134">
        <f>=E11*2*((G11+H11)*5)</f>
        <v>5400</v>
      </c>
      <c r="P11" s="135">
        <f>=O11/4096</f>
        <v>1.318359375</v>
      </c>
    </row>
    <row r="12" spans="1:16">
      <c r="A12" s="32" t="s"/>
      <c r="B12" s="32" t="s"/>
      <c r="C12" s="40" t="s">
        <v>24</v>
      </c>
      <c r="D12" s="69">
        <v>4</v>
      </c>
      <c r="E12" s="70">
        <v>48</v>
      </c>
      <c r="F12" s="42">
        <v>12</v>
      </c>
      <c r="G12" s="71">
        <v>9</v>
      </c>
      <c r="H12" s="71" t="s"/>
      <c r="I12" s="44">
        <v>0.127777777777778</v>
      </c>
      <c r="J12" s="71">
        <f>=5*2*F12*(G12+H12)</f>
        <v>1080</v>
      </c>
      <c r="K12" s="58">
        <f>=ROUNDUP(J12*I12,0)</f>
        <v>138</v>
      </c>
      <c r="L12" s="71">
        <f>=1/I12</f>
        <v>7.82608695652174</v>
      </c>
      <c r="M12" s="46">
        <f>=72000*(1-I12)</f>
        <v>62800</v>
      </c>
      <c r="N12" s="70">
        <f>=D12*G12*E12*5</f>
        <v>8640</v>
      </c>
      <c r="O12" s="116">
        <f>=E12*2*((G12+H12)*5)</f>
        <v>4320</v>
      </c>
      <c r="P12" s="117">
        <f>=O12/4096</f>
        <v>1.0546875</v>
      </c>
    </row>
    <row r="13" spans="1:16">
      <c r="A13" s="32" t="s"/>
      <c r="B13" s="32" t="s"/>
      <c r="C13" s="40" t="s">
        <v>28</v>
      </c>
      <c r="D13" s="72">
        <v>4</v>
      </c>
      <c r="E13" s="73">
        <v>54</v>
      </c>
      <c r="F13" s="50">
        <v>12</v>
      </c>
      <c r="G13" s="57">
        <v>8</v>
      </c>
      <c r="H13" s="57">
        <v>4</v>
      </c>
      <c r="I13" s="44">
        <v>0</v>
      </c>
      <c r="J13" s="57">
        <f>=5*2*F13*(G13+H13)</f>
        <v>1440</v>
      </c>
      <c r="K13" s="58">
        <f>=ROUNDUP(J13*I13,0)</f>
        <v>0</v>
      </c>
      <c r="L13" s="57" t="e">
        <f>=1/I13</f>
        <v>#DIV/0!</v>
      </c>
      <c r="M13" s="46">
        <f>=72000*(1-I13)</f>
        <v>72000</v>
      </c>
      <c r="N13" s="70">
        <f>=D13*G13*E13*5</f>
        <v>8640</v>
      </c>
      <c r="O13" s="116">
        <f>=E13*2*((G13+H13)*5)</f>
        <v>6480</v>
      </c>
      <c r="P13" s="117">
        <f>=O13/4096</f>
        <v>1.58203125</v>
      </c>
    </row>
    <row r="14" spans="3:16">
      <c r="C14" s="40" t="s">
        <v>28</v>
      </c>
      <c r="D14" s="57">
        <v>4</v>
      </c>
      <c r="E14" s="70">
        <v>48</v>
      </c>
      <c r="F14" s="50">
        <v>12</v>
      </c>
      <c r="G14" s="57">
        <v>6</v>
      </c>
      <c r="H14" s="57">
        <v>3</v>
      </c>
      <c r="I14" s="74">
        <v>0.127777777777778</v>
      </c>
      <c r="J14" s="57">
        <f>=5*2*F14*(G14+H14)</f>
        <v>1080</v>
      </c>
      <c r="K14" s="58">
        <f>=ROUNDUP(J14*I14,0)</f>
        <v>138</v>
      </c>
      <c r="L14" s="57">
        <f>=1/I14</f>
        <v>7.82608695652173</v>
      </c>
      <c r="M14" s="75">
        <f>=72000*(1-I14)</f>
        <v>62800</v>
      </c>
      <c r="N14" s="76">
        <f>=D14*G14*E14*5</f>
        <v>5760</v>
      </c>
      <c r="O14" s="116">
        <f>=E14*2*((G14+H14)*5)</f>
        <v>4320</v>
      </c>
      <c r="P14" s="116">
        <f>=O14/4096</f>
        <v>1.0546875</v>
      </c>
    </row>
    <row r="15" spans="1:16">
      <c r="A15" s="55" t="s"/>
      <c r="B15" s="55" t="s"/>
      <c r="C15" s="56" t="s"/>
      <c r="D15" s="57" t="s"/>
      <c r="E15" s="50" t="s"/>
      <c r="F15" s="50" t="s"/>
      <c r="G15" s="57" t="s"/>
      <c r="H15" s="57" t="s"/>
      <c r="I15" s="44" t="s"/>
      <c r="J15" s="57" t="s"/>
      <c r="K15" s="58" t="s"/>
      <c r="L15" s="57" t="s"/>
      <c r="M15" s="46" t="s"/>
      <c r="N15" s="49" t="s"/>
      <c r="O15" s="116" t="s"/>
      <c r="P15" s="117" t="s"/>
    </row>
    <row r="16" spans="1:16">
      <c r="A16" s="60" t="s">
        <v>30</v>
      </c>
      <c r="B16" s="60" t="s">
        <v>29</v>
      </c>
      <c r="C16" s="56" t="s">
        <v>24</v>
      </c>
      <c r="D16" s="77">
        <v>4</v>
      </c>
      <c r="E16" s="70">
        <v>80</v>
      </c>
      <c r="F16" s="42">
        <v>12</v>
      </c>
      <c r="G16" s="71">
        <v>8</v>
      </c>
      <c r="H16" s="71" t="s"/>
      <c r="I16" s="44">
        <v>0</v>
      </c>
      <c r="J16" s="71">
        <f>=5*2*F16*(G16+H16)</f>
        <v>960</v>
      </c>
      <c r="K16" s="58">
        <f>=ROUNDUP(J16*I16,0)</f>
        <v>0</v>
      </c>
      <c r="L16" s="71" t="e">
        <f>=1/I16</f>
        <v>#DIV/0!</v>
      </c>
      <c r="M16" s="46">
        <f>=72000*(1-I16)</f>
        <v>72000</v>
      </c>
      <c r="N16" s="70">
        <f>=D16*G16*E16*5</f>
        <v>12800</v>
      </c>
      <c r="O16" s="116">
        <f>=E16*2*((G16+H16)*5)</f>
        <v>6400</v>
      </c>
      <c r="P16" s="117">
        <f>=O16/4096</f>
        <v>1.5625</v>
      </c>
    </row>
    <row r="17" spans="1:28" s="138" customFormat="1">
      <c r="A17" s="78" t="s"/>
      <c r="B17" s="78" t="s"/>
      <c r="C17" s="79" t="s">
        <v>24</v>
      </c>
      <c r="D17" s="80">
        <v>4</v>
      </c>
      <c r="E17" s="81">
        <v>75</v>
      </c>
      <c r="F17" s="81">
        <v>12</v>
      </c>
      <c r="G17" s="82">
        <v>8</v>
      </c>
      <c r="H17" s="82" t="s"/>
      <c r="I17" s="83">
        <v>0.00003</v>
      </c>
      <c r="J17" s="84">
        <f>=5*2*F17*(G17+H17)</f>
        <v>960</v>
      </c>
      <c r="K17" s="58">
        <f>=ROUNDUP(J17*I17,0)</f>
        <v>1</v>
      </c>
      <c r="L17" s="84">
        <f>=1/I17</f>
        <v>33333.3333333333</v>
      </c>
      <c r="M17" s="85">
        <f>=72000*(1-I17)</f>
        <v>71997.84</v>
      </c>
      <c r="N17" s="86">
        <f>=D17*G17*E17*5</f>
        <v>12000</v>
      </c>
      <c r="O17" s="116">
        <f>=E17*2*((G17+H17)*5)</f>
        <v>6000</v>
      </c>
      <c r="P17" s="116">
        <f>=O17/4096</f>
        <v>1.46484375</v>
      </c>
      <c r="Q17" s="87" t="s"/>
      <c r="R17" s="87" t="s"/>
      <c r="S17" s="87" t="s"/>
      <c r="T17" s="87" t="s"/>
      <c r="U17" s="87" t="s"/>
      <c r="V17" s="87" t="s"/>
      <c r="W17" s="87" t="s"/>
      <c r="X17" s="87" t="s"/>
      <c r="Y17" s="87" t="s"/>
      <c r="Z17" s="87" t="s"/>
      <c r="AA17" s="87" t="s"/>
      <c r="AB17" s="87" t="s"/>
    </row>
    <row r="18" spans="1:28" s="138" customFormat="1">
      <c r="A18" s="78" t="s"/>
      <c r="B18" s="78" t="s"/>
      <c r="C18" s="88" t="s">
        <v>24</v>
      </c>
      <c r="D18" s="89">
        <v>4</v>
      </c>
      <c r="E18" s="90">
        <v>68</v>
      </c>
      <c r="F18" s="90">
        <v>12</v>
      </c>
      <c r="G18" s="91">
        <v>7</v>
      </c>
      <c r="H18" s="91" t="s"/>
      <c r="I18" s="92">
        <v>0.0291666666666667</v>
      </c>
      <c r="J18" s="91">
        <f>=5*2*F18*(G18+H18)</f>
        <v>840</v>
      </c>
      <c r="K18" s="58">
        <f>=ROUNDUP(J18*I18,0)</f>
        <v>25</v>
      </c>
      <c r="L18" s="91">
        <f>=1/I18</f>
        <v>34.2857142857143</v>
      </c>
      <c r="M18" s="93">
        <f>=72000*(1-I18)</f>
        <v>69900</v>
      </c>
      <c r="N18" s="94">
        <f>=D18*G18*E18*5</f>
        <v>9520</v>
      </c>
      <c r="O18" s="116">
        <f>=E18*2*((G18+H18)*5)</f>
        <v>4760</v>
      </c>
      <c r="P18" s="116">
        <f>=O18/4096</f>
        <v>1.162109375</v>
      </c>
      <c r="Q18" s="87" t="s"/>
      <c r="R18" s="87" t="s"/>
      <c r="S18" s="87" t="s"/>
      <c r="T18" s="87" t="s"/>
      <c r="U18" s="87" t="s"/>
      <c r="V18" s="87" t="s"/>
      <c r="W18" s="87" t="s"/>
      <c r="X18" s="87" t="s"/>
      <c r="Y18" s="87" t="s"/>
      <c r="Z18" s="87" t="s"/>
      <c r="AA18" s="87" t="s"/>
      <c r="AB18" s="87" t="s"/>
    </row>
    <row r="19" spans="1:28" s="138" customFormat="1">
      <c r="A19" s="32" t="s"/>
      <c r="B19" s="32" t="s"/>
      <c r="C19" s="88" t="s">
        <v>24</v>
      </c>
      <c r="D19" s="69">
        <v>4</v>
      </c>
      <c r="E19" s="70">
        <v>69</v>
      </c>
      <c r="F19" s="42">
        <v>12</v>
      </c>
      <c r="G19" s="71">
        <v>7</v>
      </c>
      <c r="H19" s="71" t="s"/>
      <c r="I19" s="44">
        <v>0.0229166666666667</v>
      </c>
      <c r="J19" s="71">
        <f>=5*2*F19*(G19+H19)</f>
        <v>840</v>
      </c>
      <c r="K19" s="58">
        <f>=ROUNDUP(J19*I19,0)</f>
        <v>20</v>
      </c>
      <c r="L19" s="71">
        <f>=1/I19</f>
        <v>43.6363636363636</v>
      </c>
      <c r="M19" s="46">
        <f>=72000*(1-I19)</f>
        <v>70350</v>
      </c>
      <c r="N19" s="70">
        <f>=D19*G19*E19*5</f>
        <v>9660</v>
      </c>
      <c r="O19" s="116">
        <f>=E19*2*((G19+H19)*5)</f>
        <v>4830</v>
      </c>
      <c r="P19" s="117">
        <f>=O19/4096</f>
        <v>1.17919921875</v>
      </c>
      <c r="Q19" s="95" t="s"/>
      <c r="R19" s="95" t="s"/>
      <c r="S19" s="95" t="s"/>
      <c r="T19" s="95" t="s"/>
      <c r="U19" s="95" t="s"/>
      <c r="V19" s="95" t="s"/>
      <c r="W19" s="95" t="s"/>
      <c r="X19" s="95" t="s"/>
      <c r="Y19" s="95" t="s"/>
      <c r="Z19" s="95" t="s"/>
      <c r="AA19" s="95" t="s"/>
      <c r="AB19" s="95" t="s"/>
    </row>
    <row r="20" spans="1:28" s="138" customFormat="1">
      <c r="A20" s="32" t="s"/>
      <c r="B20" s="32" t="s"/>
      <c r="C20" s="96" t="s">
        <v>24</v>
      </c>
      <c r="D20" s="97">
        <v>4</v>
      </c>
      <c r="E20" s="98">
        <v>80</v>
      </c>
      <c r="F20" s="99">
        <v>12</v>
      </c>
      <c r="G20" s="100">
        <v>7</v>
      </c>
      <c r="H20" s="100" t="s"/>
      <c r="I20" s="101">
        <v>0.0048611111111111</v>
      </c>
      <c r="J20" s="100">
        <f>=5*2*F20*(G20+H20)</f>
        <v>840</v>
      </c>
      <c r="K20" s="58">
        <f>=ROUNDUP(J20*I20,0)</f>
        <v>5</v>
      </c>
      <c r="L20" s="100">
        <f>=1/I20</f>
        <v>205.714285714286</v>
      </c>
      <c r="M20" s="102">
        <f>=72000*(1-I20)</f>
        <v>71650</v>
      </c>
      <c r="N20" s="98">
        <f>=D20*G20*E20*5</f>
        <v>11200</v>
      </c>
      <c r="O20" s="116">
        <f>=E20*2*((G20+H20)*5)</f>
        <v>5600</v>
      </c>
      <c r="P20" s="117">
        <f>=O20/4096</f>
        <v>1.3671875</v>
      </c>
      <c r="Q20" s="95" t="s"/>
      <c r="R20" s="95" t="s"/>
      <c r="S20" s="95" t="s"/>
      <c r="T20" s="95" t="s"/>
      <c r="U20" s="95" t="s"/>
      <c r="V20" s="95" t="s"/>
      <c r="W20" s="95" t="s"/>
      <c r="X20" s="95" t="s"/>
      <c r="Y20" s="95" t="s"/>
      <c r="Z20" s="95" t="s"/>
      <c r="AA20" s="95" t="s"/>
      <c r="AB20" s="95" t="s"/>
    </row>
    <row r="21" spans="1:16">
      <c r="A21" s="78" t="s"/>
      <c r="B21" s="78" t="s"/>
      <c r="C21" s="103" t="s">
        <v>24</v>
      </c>
      <c r="D21" s="104">
        <v>4</v>
      </c>
      <c r="E21" s="98">
        <v>83</v>
      </c>
      <c r="F21" s="99">
        <v>12</v>
      </c>
      <c r="G21" s="98">
        <v>7</v>
      </c>
      <c r="H21" s="105" t="s"/>
      <c r="I21" s="106">
        <v>0.002385</v>
      </c>
      <c r="J21" s="98">
        <f>=5*2*F21*(G21+H21)</f>
        <v>840</v>
      </c>
      <c r="K21" s="63">
        <f>=ROUNDUP(J21*I21,0)</f>
        <v>3</v>
      </c>
      <c r="L21" s="98">
        <f>=1/I21</f>
        <v>419.287211740042</v>
      </c>
      <c r="M21" s="102">
        <f>=72000*(1-I21)</f>
        <v>71828.28</v>
      </c>
      <c r="N21" s="98">
        <f>=D21*G21*E21*5</f>
        <v>11620</v>
      </c>
      <c r="O21" s="116">
        <f>=E21*2*((G21+H21)*5)</f>
        <v>5810</v>
      </c>
      <c r="P21" s="117">
        <f>=O21/4096</f>
        <v>1.41845703125</v>
      </c>
    </row>
    <row r="22" spans="1:16">
      <c r="A22" s="107" t="s"/>
      <c r="B22" s="107" t="s"/>
      <c r="C22" s="40" t="s">
        <v>24</v>
      </c>
      <c r="D22" s="47">
        <v>4</v>
      </c>
      <c r="E22" s="49">
        <v>68</v>
      </c>
      <c r="F22" s="42">
        <v>12</v>
      </c>
      <c r="G22" s="108">
        <v>6</v>
      </c>
      <c r="H22" s="108" t="s"/>
      <c r="I22" s="44">
        <v>0.182638888888889</v>
      </c>
      <c r="J22" s="71">
        <f>=5*2*F22*(G22+H22)</f>
        <v>720</v>
      </c>
      <c r="K22" s="58">
        <f>=ROUNDUP(J22*I22,0)</f>
        <v>132</v>
      </c>
      <c r="L22" s="108">
        <f>=1/I22</f>
        <v>5.47528517110266</v>
      </c>
      <c r="M22" s="46">
        <f>=72000*(1-I22)</f>
        <v>58850</v>
      </c>
      <c r="N22" s="49">
        <f>=D22*G22*E22*5</f>
        <v>8160</v>
      </c>
      <c r="O22" s="116">
        <f>=E22*2*((G22+H22)*5)</f>
        <v>4080</v>
      </c>
      <c r="P22" s="117">
        <f>=O22/4096</f>
        <v>0.99609375</v>
      </c>
    </row>
    <row r="23" spans="3:16">
      <c r="C23" s="109" t="s">
        <v>24</v>
      </c>
      <c r="D23" s="49">
        <v>4</v>
      </c>
      <c r="E23" s="70">
        <v>60</v>
      </c>
      <c r="F23" s="42">
        <v>9</v>
      </c>
      <c r="G23" s="70">
        <v>8</v>
      </c>
      <c r="H23" s="70" t="s"/>
      <c r="I23" s="44">
        <v>0.0277777777777778</v>
      </c>
      <c r="J23" s="70">
        <f>=5*2*F23*(G23+H23)</f>
        <v>720</v>
      </c>
      <c r="K23" s="63">
        <f>=ROUNDUP(J23*I23,0)</f>
        <v>20</v>
      </c>
      <c r="L23" s="70">
        <f>=1/I23</f>
        <v>36</v>
      </c>
      <c r="M23" s="46">
        <f>=72000*(1-I23)</f>
        <v>70000</v>
      </c>
      <c r="N23" s="70">
        <f>=D23*G23*E23*5</f>
        <v>9600</v>
      </c>
      <c r="O23" s="116">
        <f>=E23*2*((G23+H23)*5)</f>
        <v>4800</v>
      </c>
      <c r="P23" s="117">
        <f>=O23/4096</f>
        <v>1.171875</v>
      </c>
    </row>
    <row r="24" spans="1:16">
      <c r="A24" s="55" t="s"/>
      <c r="B24" s="55" t="s"/>
      <c r="C24" s="56" t="s"/>
      <c r="D24" s="57" t="s"/>
      <c r="E24" s="50" t="s"/>
      <c r="F24" s="50" t="s"/>
      <c r="G24" s="57" t="s"/>
      <c r="H24" s="57" t="s"/>
      <c r="I24" s="44" t="s"/>
      <c r="J24" s="57" t="s"/>
      <c r="K24" s="58" t="s"/>
      <c r="L24" s="57" t="s"/>
      <c r="M24" s="46" t="s"/>
      <c r="N24" s="49" t="s"/>
      <c r="O24" s="116" t="s"/>
      <c r="P24" s="117" t="s"/>
    </row>
    <row r="25" spans="1:16">
      <c r="A25" s="60" t="s">
        <v>30</v>
      </c>
      <c r="B25" s="60" t="s">
        <v>29</v>
      </c>
      <c r="C25" s="56" t="s">
        <v>27</v>
      </c>
      <c r="D25" s="77">
        <v>3</v>
      </c>
      <c r="E25" s="70">
        <f>=83-2</f>
        <v>81</v>
      </c>
      <c r="F25" s="42">
        <v>12</v>
      </c>
      <c r="G25" s="71">
        <v>8</v>
      </c>
      <c r="H25" s="71" t="s"/>
      <c r="I25" s="44">
        <v>0</v>
      </c>
      <c r="J25" s="71">
        <f>=5*2*F25*(G25+H25)</f>
        <v>960</v>
      </c>
      <c r="K25" s="58">
        <f>=ROUNDUP(J25*I25,0)</f>
        <v>0</v>
      </c>
      <c r="L25" s="71" t="e">
        <f>=1/I25</f>
        <v>#DIV/0!</v>
      </c>
      <c r="M25" s="46">
        <f>=72000*(1-I25)</f>
        <v>72000</v>
      </c>
      <c r="N25" s="70">
        <f>=D25*G25*E25*5</f>
        <v>9720</v>
      </c>
      <c r="O25" s="116">
        <f>=E25*2*((G25+H25)*5)</f>
        <v>6480</v>
      </c>
      <c r="P25" s="117">
        <f>=O25/4096</f>
        <v>1.58203125</v>
      </c>
    </row>
    <row r="26" spans="1:16">
      <c r="A26" s="21" t="s"/>
      <c r="B26" s="21" t="s"/>
      <c r="C26" s="56" t="s">
        <v>27</v>
      </c>
      <c r="D26" s="77">
        <v>3</v>
      </c>
      <c r="E26" s="70">
        <f>=77-2</f>
        <v>75</v>
      </c>
      <c r="F26" s="42">
        <v>12</v>
      </c>
      <c r="G26" s="71">
        <v>8</v>
      </c>
      <c r="H26" s="71" t="s"/>
      <c r="I26" s="83">
        <v>0.00003</v>
      </c>
      <c r="J26" s="71">
        <f>=5*2*F26*(G26+H26)</f>
        <v>960</v>
      </c>
      <c r="K26" s="58">
        <f>=ROUNDUP(J26*I26,0)</f>
        <v>1</v>
      </c>
      <c r="L26" s="71">
        <f>=1/I26</f>
        <v>33333.3333333333</v>
      </c>
      <c r="M26" s="46">
        <f>=72000*(1-I26)</f>
        <v>71997.84</v>
      </c>
      <c r="N26" s="70">
        <f>=D26*G26*E26*5</f>
        <v>9000</v>
      </c>
      <c r="O26" s="116">
        <f>=E26*2*((G26+H26)*5)</f>
        <v>6000</v>
      </c>
      <c r="P26" s="117">
        <f>=O26/4096</f>
        <v>1.46484375</v>
      </c>
    </row>
    <row r="27" spans="1:16">
      <c r="A27" s="32" t="s"/>
      <c r="B27" s="32" t="s"/>
      <c r="C27" s="40" t="s">
        <v>27</v>
      </c>
      <c r="D27" s="69">
        <v>3</v>
      </c>
      <c r="E27" s="110">
        <v>81</v>
      </c>
      <c r="F27" s="42">
        <v>12</v>
      </c>
      <c r="G27" s="71">
        <v>7</v>
      </c>
      <c r="H27" s="71" t="s"/>
      <c r="I27" s="44">
        <v>0.00881944444444449</v>
      </c>
      <c r="J27" s="111">
        <f>=5*2*F27*(G27+H27)</f>
        <v>840</v>
      </c>
      <c r="K27" s="58">
        <f>=ROUNDUP(J27*I27,0)</f>
        <v>8</v>
      </c>
      <c r="L27" s="71">
        <f>=1/I27</f>
        <v>113.385826771653</v>
      </c>
      <c r="M27" s="46">
        <f>=72000*(1-I27)</f>
        <v>71365</v>
      </c>
      <c r="N27" s="70">
        <f>=D27*G27*E27*5</f>
        <v>8505</v>
      </c>
      <c r="O27" s="116">
        <f>=E27*2*((G27+H27)*5)</f>
        <v>5670</v>
      </c>
      <c r="P27" s="117">
        <f>=O27/4096</f>
        <v>1.38427734375</v>
      </c>
    </row>
    <row r="28" spans="1:16">
      <c r="A28" s="52" t="s"/>
      <c r="B28" s="52" t="s"/>
      <c r="C28" s="40" t="s">
        <v>27</v>
      </c>
      <c r="D28" s="72">
        <v>3</v>
      </c>
      <c r="E28" s="70">
        <v>60</v>
      </c>
      <c r="F28" s="42">
        <v>9</v>
      </c>
      <c r="G28" s="71">
        <v>8</v>
      </c>
      <c r="H28" s="71" t="s"/>
      <c r="I28" s="44">
        <v>1</v>
      </c>
      <c r="J28" s="71">
        <f>=5*2*F28*(G28+H28)</f>
        <v>720</v>
      </c>
      <c r="K28" s="58">
        <f>=ROUNDUP(J28*I28,0)</f>
        <v>720</v>
      </c>
      <c r="L28" s="71">
        <f>=1/I28</f>
        <v>1</v>
      </c>
      <c r="M28" s="46">
        <f>=72000*(1-I28)</f>
        <v>0</v>
      </c>
      <c r="N28" s="70">
        <f>=D28*G28*E28*5</f>
        <v>7200</v>
      </c>
      <c r="O28" s="116">
        <f>=E28*2*((G28+H28)*5)</f>
        <v>4800</v>
      </c>
      <c r="P28" s="117">
        <f>=O28/4096</f>
        <v>1.171875</v>
      </c>
    </row>
    <row r="29" spans="9:16">
      <c r="I29" s="112" t="s"/>
      <c r="M29" s="113" t="s"/>
      <c r="O29" s="114" t="s"/>
      <c r="P29" s="114" t="s"/>
    </row>
    <row r="30" spans="9:16">
      <c r="I30" s="112" t="s"/>
      <c r="M30" s="46" t="s"/>
      <c r="N30" s="115" t="s"/>
      <c r="O30" s="116" t="s"/>
      <c r="P30" s="117" t="s"/>
    </row>
    <row r="31" spans="9:17">
      <c r="I31" s="112" t="s"/>
      <c r="M31" s="113" t="s"/>
      <c r="O31" s="114">
        <v>6072</v>
      </c>
      <c r="P31" s="114">
        <v>1.48</v>
      </c>
      <c r="Q31" s="118" t="s">
        <v>31</v>
      </c>
    </row>
    <row r="32" spans="9:16">
      <c r="I32" s="112" t="s"/>
      <c r="M32" s="113" t="s"/>
      <c r="O32" s="114" t="s"/>
      <c r="P32" s="114" t="s"/>
    </row>
    <row r="33" spans="9:16">
      <c r="I33" s="112" t="s"/>
      <c r="M33" s="113" t="s"/>
      <c r="O33" s="114" t="s"/>
      <c r="P33" s="114" t="s"/>
    </row>
    <row r="34" spans="9:16">
      <c r="I34" s="112" t="s"/>
      <c r="M34" s="113" t="s"/>
      <c r="O34" s="114" t="s"/>
      <c r="P34" s="114" t="s"/>
    </row>
    <row r="35" spans="9:16">
      <c r="I35" s="112" t="s"/>
      <c r="M35" s="113" t="s"/>
      <c r="O35" s="114" t="s"/>
      <c r="P35" s="114" t="s"/>
    </row>
    <row r="36" spans="9:16">
      <c r="I36" s="112" t="s"/>
      <c r="M36" s="113" t="s"/>
      <c r="O36" s="114" t="s"/>
      <c r="P36" s="114" t="s"/>
    </row>
    <row r="37" spans="9:16">
      <c r="I37" s="112" t="s"/>
      <c r="M37" s="113" t="s"/>
      <c r="O37" s="114" t="s"/>
      <c r="P37" s="114" t="s"/>
    </row>
    <row r="38" spans="9:16">
      <c r="I38" s="112" t="s"/>
      <c r="M38" s="113" t="s"/>
      <c r="O38" s="114" t="s"/>
      <c r="P38" s="114" t="s"/>
    </row>
    <row r="39" spans="9:16">
      <c r="I39" s="112" t="s"/>
      <c r="M39" s="113" t="s"/>
      <c r="O39" s="114" t="s"/>
      <c r="P39" s="114" t="s"/>
    </row>
    <row r="40" spans="9:16">
      <c r="I40" s="112" t="s"/>
      <c r="M40" s="113" t="s"/>
      <c r="O40" s="114" t="s"/>
      <c r="P40" s="114" t="s"/>
    </row>
    <row r="41" spans="9:16">
      <c r="I41" s="112" t="s"/>
      <c r="M41" s="113" t="s"/>
      <c r="O41" s="114" t="s"/>
      <c r="P41" s="114" t="s"/>
    </row>
    <row r="42" spans="9:16">
      <c r="I42" s="112" t="s"/>
      <c r="M42" s="113" t="s"/>
      <c r="O42" s="114" t="s"/>
      <c r="P42" s="114" t="s"/>
    </row>
    <row r="43" spans="9:16">
      <c r="I43" s="112" t="s"/>
      <c r="M43" s="113" t="s"/>
      <c r="O43" s="114" t="s"/>
      <c r="P43" s="114" t="s"/>
    </row>
    <row r="44" spans="9:16">
      <c r="I44" s="112" t="s"/>
      <c r="M44" s="113" t="s"/>
      <c r="O44" s="114" t="s"/>
      <c r="P44" s="114" t="s"/>
    </row>
    <row r="45" spans="9:16">
      <c r="I45" s="112" t="s"/>
      <c r="M45" s="113" t="s"/>
      <c r="O45" s="114" t="s"/>
      <c r="P45" s="114" t="s"/>
    </row>
    <row r="46" spans="9:16">
      <c r="I46" s="112" t="s"/>
      <c r="M46" s="113" t="s"/>
      <c r="O46" s="114" t="s"/>
      <c r="P46" s="114" t="s"/>
    </row>
    <row r="47" spans="9:16">
      <c r="I47" s="112" t="s"/>
      <c r="M47" s="113" t="s"/>
      <c r="O47" s="114" t="s"/>
      <c r="P47" s="114" t="s"/>
    </row>
    <row r="48" spans="9:16">
      <c r="I48" s="112" t="s"/>
      <c r="M48" s="113" t="s"/>
      <c r="O48" s="114" t="s"/>
      <c r="P48" s="114" t="s"/>
    </row>
    <row r="49" spans="9:16">
      <c r="I49" s="112" t="s"/>
      <c r="M49" s="113" t="s"/>
      <c r="O49" s="114" t="s"/>
      <c r="P49" s="114" t="s"/>
    </row>
    <row r="50" spans="9:16">
      <c r="I50" s="112" t="s"/>
      <c r="M50" s="113" t="s"/>
      <c r="O50" s="114" t="s"/>
      <c r="P50" s="114" t="s"/>
    </row>
    <row r="51" spans="9:16">
      <c r="I51" s="112" t="s"/>
      <c r="M51" s="113" t="s"/>
      <c r="O51" s="114" t="s"/>
      <c r="P51" s="114" t="s"/>
    </row>
    <row r="52" spans="9:16">
      <c r="I52" s="112" t="s"/>
      <c r="M52" s="113" t="s"/>
      <c r="O52" s="114" t="s"/>
      <c r="P52" s="114" t="s"/>
    </row>
    <row r="53" spans="9:16">
      <c r="I53" s="112" t="s"/>
      <c r="M53" s="113" t="s"/>
      <c r="O53" s="114" t="s"/>
      <c r="P53" s="114" t="s"/>
    </row>
    <row r="54" spans="9:16">
      <c r="I54" s="112" t="s"/>
      <c r="M54" s="113" t="s"/>
      <c r="O54" s="114" t="s"/>
      <c r="P54" s="114" t="s"/>
    </row>
    <row r="55" spans="9:16">
      <c r="I55" s="112" t="s"/>
      <c r="M55" s="113" t="s"/>
      <c r="O55" s="114" t="s"/>
      <c r="P55" s="114" t="s"/>
    </row>
    <row r="56" spans="9:16">
      <c r="I56" s="112" t="s"/>
      <c r="M56" s="113" t="s"/>
      <c r="O56" s="114" t="s"/>
      <c r="P56" s="114" t="s"/>
    </row>
    <row r="57" spans="9:16">
      <c r="I57" s="112" t="s"/>
      <c r="M57" s="113" t="s"/>
      <c r="O57" s="114" t="s"/>
      <c r="P57" s="114" t="s"/>
    </row>
    <row r="58" spans="9:16">
      <c r="I58" s="112" t="s"/>
      <c r="M58" s="113" t="s"/>
      <c r="O58" s="114" t="s"/>
      <c r="P58" s="114" t="s"/>
    </row>
    <row r="59" spans="9:16">
      <c r="I59" s="112" t="s"/>
      <c r="M59" s="113" t="s"/>
      <c r="O59" s="114" t="s"/>
      <c r="P59" s="114" t="s"/>
    </row>
    <row r="60" spans="9:16">
      <c r="I60" s="112" t="s"/>
      <c r="M60" s="113" t="s"/>
      <c r="O60" s="114" t="s"/>
      <c r="P60" s="114" t="s"/>
    </row>
    <row r="61" spans="9:16">
      <c r="I61" s="112" t="s"/>
      <c r="M61" s="113" t="s"/>
      <c r="O61" s="114" t="s"/>
      <c r="P61" s="114" t="s"/>
    </row>
    <row r="62" spans="9:16">
      <c r="I62" s="112" t="s"/>
      <c r="M62" s="113" t="s"/>
      <c r="O62" s="114" t="s"/>
      <c r="P62" s="114" t="s"/>
    </row>
    <row r="63" spans="9:16">
      <c r="I63" s="112" t="s"/>
      <c r="M63" s="113" t="s"/>
      <c r="O63" s="114" t="s"/>
      <c r="P63" s="114" t="s"/>
    </row>
    <row r="64" spans="9:16">
      <c r="I64" s="112" t="s"/>
      <c r="M64" s="113" t="s"/>
      <c r="O64" s="114" t="s"/>
      <c r="P64" s="114" t="s"/>
    </row>
    <row r="65" spans="9:16">
      <c r="I65" s="112" t="s"/>
      <c r="M65" s="113" t="s"/>
      <c r="O65" s="114" t="s"/>
      <c r="P65" s="114" t="s"/>
    </row>
    <row r="66" spans="9:16">
      <c r="I66" s="112" t="s"/>
      <c r="M66" s="113" t="s"/>
      <c r="O66" s="114" t="s"/>
      <c r="P66" s="114" t="s"/>
    </row>
    <row r="67" spans="9:16">
      <c r="I67" s="112" t="s"/>
      <c r="M67" s="113" t="s"/>
      <c r="O67" s="114" t="s"/>
      <c r="P67" s="114" t="s"/>
    </row>
    <row r="68" spans="9:16">
      <c r="I68" s="112" t="s"/>
      <c r="M68" s="113" t="s"/>
      <c r="O68" s="114" t="s"/>
      <c r="P68" s="114" t="s"/>
    </row>
    <row r="69" spans="9:16">
      <c r="I69" s="112" t="s"/>
      <c r="M69" s="113" t="s"/>
      <c r="O69" s="114" t="s"/>
      <c r="P69" s="114" t="s"/>
    </row>
    <row r="70" spans="9:16">
      <c r="I70" s="112" t="s"/>
      <c r="M70" s="113" t="s"/>
      <c r="O70" s="114" t="s"/>
      <c r="P70" s="114" t="s"/>
    </row>
    <row r="71" spans="9:16">
      <c r="I71" s="112" t="s"/>
      <c r="M71" s="113" t="s"/>
      <c r="O71" s="114" t="s"/>
      <c r="P71" s="114" t="s"/>
    </row>
    <row r="72" spans="9:16">
      <c r="I72" s="112" t="s"/>
      <c r="M72" s="113" t="s"/>
      <c r="O72" s="114" t="s"/>
      <c r="P72" s="114" t="s"/>
    </row>
    <row r="73" spans="9:16">
      <c r="I73" s="112" t="s"/>
      <c r="M73" s="113" t="s"/>
      <c r="O73" s="114" t="s"/>
      <c r="P73" s="114" t="s"/>
    </row>
    <row r="74" spans="9:16">
      <c r="I74" s="112" t="s"/>
      <c r="M74" s="113" t="s"/>
      <c r="O74" s="114" t="s"/>
      <c r="P74" s="114" t="s"/>
    </row>
    <row r="75" spans="9:16">
      <c r="I75" s="112" t="s"/>
      <c r="M75" s="113" t="s"/>
      <c r="O75" s="114" t="s"/>
      <c r="P75" s="114" t="s"/>
    </row>
    <row r="76" spans="9:16">
      <c r="I76" s="112" t="s"/>
      <c r="M76" s="113" t="s"/>
      <c r="O76" s="114" t="s"/>
      <c r="P76" s="114" t="s"/>
    </row>
    <row r="77" spans="9:16">
      <c r="I77" s="112" t="s"/>
      <c r="M77" s="113" t="s"/>
      <c r="O77" s="114" t="s"/>
      <c r="P77" s="114" t="s"/>
    </row>
    <row r="78" spans="9:16">
      <c r="I78" s="112" t="s"/>
      <c r="M78" s="113" t="s"/>
      <c r="O78" s="114" t="s"/>
      <c r="P78" s="114" t="s"/>
    </row>
    <row r="79" spans="9:16">
      <c r="I79" s="112" t="s"/>
      <c r="M79" s="113" t="s"/>
      <c r="O79" s="114" t="s"/>
      <c r="P79" s="114" t="s"/>
    </row>
    <row r="80" spans="9:16">
      <c r="I80" s="112" t="s"/>
      <c r="M80" s="113" t="s"/>
      <c r="O80" s="114" t="s"/>
      <c r="P80" s="114" t="s"/>
    </row>
    <row r="81" spans="9:16">
      <c r="I81" s="112" t="s"/>
      <c r="M81" s="113" t="s"/>
      <c r="O81" s="114" t="s"/>
      <c r="P81" s="114" t="s"/>
    </row>
    <row r="82" spans="9:16">
      <c r="I82" s="112" t="s"/>
      <c r="M82" s="113" t="s"/>
      <c r="O82" s="114" t="s"/>
      <c r="P82" s="114" t="s"/>
    </row>
    <row r="83" spans="9:16">
      <c r="I83" s="112" t="s"/>
      <c r="M83" s="113" t="s"/>
      <c r="O83" s="114" t="s"/>
      <c r="P83" s="114" t="s"/>
    </row>
    <row r="84" spans="9:16">
      <c r="I84" s="112" t="s"/>
      <c r="M84" s="113" t="s"/>
      <c r="O84" s="114" t="s"/>
      <c r="P84" s="114" t="s"/>
    </row>
    <row r="85" spans="9:16">
      <c r="I85" s="112" t="s"/>
      <c r="M85" s="113" t="s"/>
      <c r="O85" s="114" t="s"/>
      <c r="P85" s="114" t="s"/>
    </row>
    <row r="86" spans="9:16">
      <c r="I86" s="112" t="s"/>
      <c r="M86" s="113" t="s"/>
      <c r="O86" s="114" t="s"/>
      <c r="P86" s="114" t="s"/>
    </row>
    <row r="87" spans="9:16">
      <c r="I87" s="112" t="s"/>
      <c r="M87" s="113" t="s"/>
      <c r="O87" s="114" t="s"/>
      <c r="P87" s="114" t="s"/>
    </row>
    <row r="88" spans="9:16">
      <c r="I88" s="112" t="s"/>
      <c r="M88" s="113" t="s"/>
      <c r="O88" s="114" t="s"/>
      <c r="P88" s="114" t="s"/>
    </row>
    <row r="89" spans="9:16">
      <c r="I89" s="112" t="s"/>
      <c r="M89" s="113" t="s"/>
      <c r="O89" s="114" t="s"/>
      <c r="P89" s="114" t="s"/>
    </row>
    <row r="90" spans="9:16">
      <c r="I90" s="112" t="s"/>
      <c r="M90" s="113" t="s"/>
      <c r="O90" s="114" t="s"/>
      <c r="P90" s="114" t="s"/>
    </row>
    <row r="91" spans="9:16">
      <c r="I91" s="112" t="s"/>
      <c r="M91" s="113" t="s"/>
      <c r="O91" s="114" t="s"/>
      <c r="P91" s="114" t="s"/>
    </row>
    <row r="92" spans="9:16">
      <c r="I92" s="112" t="s"/>
      <c r="M92" s="113" t="s"/>
      <c r="O92" s="114" t="s"/>
      <c r="P92" s="114" t="s"/>
    </row>
    <row r="93" spans="9:16">
      <c r="I93" s="112" t="s"/>
      <c r="M93" s="113" t="s"/>
      <c r="O93" s="114" t="s"/>
      <c r="P93" s="114" t="s"/>
    </row>
    <row r="94" spans="9:16">
      <c r="I94" s="112" t="s"/>
      <c r="M94" s="113" t="s"/>
      <c r="O94" s="114" t="s"/>
      <c r="P94" s="114" t="s"/>
    </row>
    <row r="95" spans="9:16">
      <c r="I95" s="112" t="s"/>
      <c r="M95" s="113" t="s"/>
      <c r="O95" s="114" t="s"/>
      <c r="P95" s="114" t="s"/>
    </row>
    <row r="96" spans="9:16">
      <c r="I96" s="112" t="s"/>
      <c r="M96" s="113" t="s"/>
      <c r="O96" s="114" t="s"/>
      <c r="P96" s="114" t="s"/>
    </row>
    <row r="97" spans="9:16">
      <c r="I97" s="112" t="s"/>
      <c r="M97" s="113" t="s"/>
      <c r="O97" s="114" t="s"/>
      <c r="P97" s="114" t="s"/>
    </row>
    <row r="98" spans="9:16">
      <c r="I98" s="112" t="s"/>
      <c r="M98" s="113" t="s"/>
      <c r="O98" s="114" t="s"/>
      <c r="P98" s="114" t="s"/>
    </row>
    <row r="99" spans="9:16">
      <c r="I99" s="112" t="s"/>
      <c r="M99" s="113" t="s"/>
      <c r="O99" s="114" t="s"/>
      <c r="P99" s="114" t="s"/>
    </row>
    <row r="100" spans="9:16">
      <c r="I100" s="112" t="s"/>
      <c r="M100" s="113" t="s"/>
      <c r="O100" s="114" t="s"/>
      <c r="P100" s="114" t="s"/>
    </row>
    <row r="101" spans="9:16">
      <c r="I101" s="112" t="s"/>
      <c r="M101" s="113" t="s"/>
      <c r="O101" s="114" t="s"/>
      <c r="P101" s="114" t="s"/>
    </row>
    <row r="102" spans="9:16">
      <c r="I102" s="112" t="s"/>
      <c r="M102" s="113" t="s"/>
      <c r="O102" s="114" t="s"/>
      <c r="P102" s="114" t="s"/>
    </row>
    <row r="103" spans="9:16">
      <c r="I103" s="112" t="s"/>
      <c r="M103" s="113" t="s"/>
      <c r="O103" s="114" t="s"/>
      <c r="P103" s="114" t="s"/>
    </row>
    <row r="104" spans="9:16">
      <c r="I104" s="112" t="s"/>
      <c r="M104" s="113" t="s"/>
      <c r="O104" s="114" t="s"/>
      <c r="P104" s="114" t="s"/>
    </row>
    <row r="105" spans="9:16">
      <c r="I105" s="112" t="s"/>
      <c r="M105" s="113" t="s"/>
      <c r="O105" s="114" t="s"/>
      <c r="P105" s="114" t="s"/>
    </row>
    <row r="106" spans="9:16">
      <c r="I106" s="112" t="s"/>
      <c r="M106" s="113" t="s"/>
      <c r="O106" s="114" t="s"/>
      <c r="P106" s="114" t="s"/>
    </row>
    <row r="107" spans="9:16">
      <c r="I107" s="112" t="s"/>
      <c r="M107" s="113" t="s"/>
      <c r="O107" s="114" t="s"/>
      <c r="P107" s="114" t="s"/>
    </row>
    <row r="108" spans="9:16">
      <c r="I108" s="112" t="s"/>
      <c r="M108" s="113" t="s"/>
      <c r="O108" s="114" t="s"/>
      <c r="P108" s="114" t="s"/>
    </row>
    <row r="109" spans="9:16">
      <c r="I109" s="112" t="s"/>
      <c r="M109" s="113" t="s"/>
      <c r="O109" s="114" t="s"/>
      <c r="P109" s="114" t="s"/>
    </row>
    <row r="110" spans="9:16">
      <c r="I110" s="112" t="s"/>
      <c r="M110" s="113" t="s"/>
      <c r="O110" s="114" t="s"/>
      <c r="P110" s="114" t="s"/>
    </row>
    <row r="111" spans="9:16">
      <c r="I111" s="112" t="s"/>
      <c r="M111" s="113" t="s"/>
      <c r="O111" s="114" t="s"/>
      <c r="P111" s="114" t="s"/>
    </row>
    <row r="112" spans="9:16">
      <c r="I112" s="112" t="s"/>
      <c r="M112" s="113" t="s"/>
      <c r="O112" s="114" t="s"/>
      <c r="P112" s="114" t="s"/>
    </row>
    <row r="113" spans="9:16">
      <c r="I113" s="112" t="s"/>
      <c r="M113" s="113" t="s"/>
      <c r="O113" s="114" t="s"/>
      <c r="P113" s="114" t="s"/>
    </row>
    <row r="114" spans="9:16">
      <c r="I114" s="112" t="s"/>
      <c r="M114" s="113" t="s"/>
      <c r="O114" s="114" t="s"/>
      <c r="P114" s="114" t="s"/>
    </row>
    <row r="115" spans="9:16">
      <c r="I115" s="112" t="s"/>
      <c r="M115" s="113" t="s"/>
      <c r="O115" s="114" t="s"/>
      <c r="P115" s="114" t="s"/>
    </row>
    <row r="116" spans="9:16">
      <c r="I116" s="112" t="s"/>
      <c r="M116" s="113" t="s"/>
      <c r="O116" s="114" t="s"/>
      <c r="P116" s="114" t="s"/>
    </row>
    <row r="117" spans="9:16">
      <c r="I117" s="112" t="s"/>
      <c r="M117" s="113" t="s"/>
      <c r="O117" s="114" t="s"/>
      <c r="P117" s="114" t="s"/>
    </row>
    <row r="118" spans="9:16">
      <c r="I118" s="112" t="s"/>
      <c r="M118" s="113" t="s"/>
      <c r="O118" s="114" t="s"/>
      <c r="P118" s="114" t="s"/>
    </row>
    <row r="119" spans="9:16">
      <c r="I119" s="112" t="s"/>
      <c r="M119" s="113" t="s"/>
      <c r="O119" s="114" t="s"/>
      <c r="P119" s="114" t="s"/>
    </row>
    <row r="120" spans="9:16">
      <c r="I120" s="112" t="s"/>
      <c r="M120" s="113" t="s"/>
      <c r="O120" s="114" t="s"/>
      <c r="P120" s="114" t="s"/>
    </row>
    <row r="121" spans="9:16">
      <c r="I121" s="112" t="s"/>
      <c r="M121" s="113" t="s"/>
      <c r="O121" s="114" t="s"/>
      <c r="P121" s="114" t="s"/>
    </row>
    <row r="122" spans="9:16">
      <c r="I122" s="112" t="s"/>
      <c r="M122" s="113" t="s"/>
      <c r="O122" s="114" t="s"/>
      <c r="P122" s="114" t="s"/>
    </row>
    <row r="123" spans="9:16">
      <c r="I123" s="112" t="s"/>
      <c r="M123" s="113" t="s"/>
      <c r="O123" s="114" t="s"/>
      <c r="P123" s="114" t="s"/>
    </row>
    <row r="124" spans="9:16">
      <c r="I124" s="112" t="s"/>
      <c r="M124" s="113" t="s"/>
      <c r="O124" s="114" t="s"/>
      <c r="P124" s="114" t="s"/>
    </row>
    <row r="125" spans="9:16">
      <c r="I125" s="112" t="s"/>
      <c r="M125" s="113" t="s"/>
      <c r="O125" s="114" t="s"/>
      <c r="P125" s="114" t="s"/>
    </row>
    <row r="126" spans="9:16">
      <c r="I126" s="112" t="s"/>
      <c r="M126" s="113" t="s"/>
      <c r="O126" s="114" t="s"/>
      <c r="P126" s="114" t="s"/>
    </row>
    <row r="127" spans="9:16">
      <c r="I127" s="112" t="s"/>
      <c r="M127" s="113" t="s"/>
      <c r="O127" s="114" t="s"/>
      <c r="P127" s="114" t="s"/>
    </row>
    <row r="128" spans="9:16">
      <c r="I128" s="112" t="s"/>
      <c r="M128" s="113" t="s"/>
      <c r="O128" s="114" t="s"/>
      <c r="P128" s="114" t="s"/>
    </row>
    <row r="129" spans="9:16">
      <c r="I129" s="112" t="s"/>
      <c r="M129" s="113" t="s"/>
      <c r="O129" s="114" t="s"/>
      <c r="P129" s="114" t="s"/>
    </row>
    <row r="130" spans="9:16">
      <c r="I130" s="112" t="s"/>
      <c r="M130" s="113" t="s"/>
      <c r="O130" s="114" t="s"/>
      <c r="P130" s="114" t="s"/>
    </row>
    <row r="131" spans="9:16">
      <c r="I131" s="112" t="s"/>
      <c r="M131" s="113" t="s"/>
      <c r="O131" s="114" t="s"/>
      <c r="P131" s="114" t="s"/>
    </row>
    <row r="132" spans="9:16">
      <c r="I132" s="112" t="s"/>
      <c r="M132" s="113" t="s"/>
      <c r="O132" s="114" t="s"/>
      <c r="P132" s="114" t="s"/>
    </row>
    <row r="133" spans="9:16">
      <c r="I133" s="112" t="s"/>
      <c r="M133" s="113" t="s"/>
      <c r="O133" s="114" t="s"/>
      <c r="P133" s="114" t="s"/>
    </row>
    <row r="134" spans="9:16">
      <c r="I134" s="112" t="s"/>
      <c r="M134" s="113" t="s"/>
      <c r="O134" s="114" t="s"/>
      <c r="P134" s="114" t="s"/>
    </row>
    <row r="135" spans="9:16">
      <c r="I135" s="112" t="s"/>
      <c r="M135" s="113" t="s"/>
      <c r="O135" s="114" t="s"/>
      <c r="P135" s="114" t="s"/>
    </row>
    <row r="136" spans="9:16">
      <c r="I136" s="112" t="s"/>
      <c r="M136" s="113" t="s"/>
      <c r="O136" s="114" t="s"/>
      <c r="P136" s="114" t="s"/>
    </row>
    <row r="137" spans="9:16">
      <c r="I137" s="112" t="s"/>
      <c r="M137" s="113" t="s"/>
      <c r="O137" s="114" t="s"/>
      <c r="P137" s="114" t="s"/>
    </row>
    <row r="138" spans="9:16">
      <c r="I138" s="112" t="s"/>
      <c r="M138" s="113" t="s"/>
      <c r="O138" s="114" t="s"/>
      <c r="P138" s="114" t="s"/>
    </row>
    <row r="139" spans="9:16">
      <c r="I139" s="112" t="s"/>
      <c r="M139" s="113" t="s"/>
      <c r="O139" s="114" t="s"/>
      <c r="P139" s="114" t="s"/>
    </row>
    <row r="140" spans="9:16">
      <c r="I140" s="112" t="s"/>
      <c r="M140" s="113" t="s"/>
      <c r="O140" s="114" t="s"/>
      <c r="P140" s="114" t="s"/>
    </row>
    <row r="141" spans="9:16">
      <c r="I141" s="112" t="s"/>
      <c r="M141" s="113" t="s"/>
      <c r="O141" s="114" t="s"/>
      <c r="P141" s="114" t="s"/>
    </row>
    <row r="142" spans="9:16">
      <c r="I142" s="112" t="s"/>
      <c r="M142" s="113" t="s"/>
      <c r="O142" s="114" t="s"/>
      <c r="P142" s="114" t="s"/>
    </row>
    <row r="143" spans="9:16">
      <c r="I143" s="112" t="s"/>
      <c r="M143" s="113" t="s"/>
      <c r="O143" s="114" t="s"/>
      <c r="P143" s="114" t="s"/>
    </row>
    <row r="144" spans="9:16">
      <c r="I144" s="112" t="s"/>
      <c r="M144" s="113" t="s"/>
      <c r="O144" s="114" t="s"/>
      <c r="P144" s="114" t="s"/>
    </row>
    <row r="145" spans="9:16">
      <c r="I145" s="112" t="s"/>
      <c r="M145" s="113" t="s"/>
      <c r="O145" s="114" t="s"/>
      <c r="P145" s="114" t="s"/>
    </row>
    <row r="146" spans="9:16">
      <c r="I146" s="112" t="s"/>
      <c r="M146" s="113" t="s"/>
      <c r="O146" s="114" t="s"/>
      <c r="P146" s="114" t="s"/>
    </row>
    <row r="147" spans="9:16">
      <c r="I147" s="112" t="s"/>
      <c r="M147" s="113" t="s"/>
      <c r="O147" s="114" t="s"/>
      <c r="P147" s="114" t="s"/>
    </row>
    <row r="148" spans="9:16">
      <c r="I148" s="112" t="s"/>
      <c r="M148" s="113" t="s"/>
      <c r="O148" s="114" t="s"/>
      <c r="P148" s="114" t="s"/>
    </row>
    <row r="149" spans="9:16">
      <c r="I149" s="112" t="s"/>
      <c r="M149" s="113" t="s"/>
      <c r="O149" s="114" t="s"/>
      <c r="P149" s="114" t="s"/>
    </row>
    <row r="150" spans="9:16">
      <c r="I150" s="112" t="s"/>
      <c r="M150" s="113" t="s"/>
      <c r="O150" s="114" t="s"/>
      <c r="P150" s="114" t="s"/>
    </row>
    <row r="151" spans="9:16">
      <c r="I151" s="112" t="s"/>
      <c r="M151" s="113" t="s"/>
      <c r="O151" s="114" t="s"/>
      <c r="P151" s="114" t="s"/>
    </row>
    <row r="152" spans="9:16">
      <c r="I152" s="112" t="s"/>
      <c r="M152" s="113" t="s"/>
      <c r="O152" s="114" t="s"/>
      <c r="P152" s="114" t="s"/>
    </row>
    <row r="153" spans="9:16">
      <c r="I153" s="112" t="s"/>
      <c r="M153" s="113" t="s"/>
      <c r="O153" s="114" t="s"/>
      <c r="P153" s="114" t="s"/>
    </row>
    <row r="154" spans="9:16">
      <c r="I154" s="112" t="s"/>
      <c r="M154" s="113" t="s"/>
      <c r="O154" s="114" t="s"/>
      <c r="P154" s="114" t="s"/>
    </row>
    <row r="155" spans="9:16">
      <c r="I155" s="112" t="s"/>
      <c r="M155" s="113" t="s"/>
      <c r="O155" s="114" t="s"/>
      <c r="P155" s="114" t="s"/>
    </row>
    <row r="156" spans="9:16">
      <c r="I156" s="112" t="s"/>
      <c r="M156" s="113" t="s"/>
      <c r="O156" s="114" t="s"/>
      <c r="P156" s="114" t="s"/>
    </row>
    <row r="157" spans="9:16">
      <c r="I157" s="112" t="s"/>
      <c r="M157" s="113" t="s"/>
      <c r="O157" s="114" t="s"/>
      <c r="P157" s="114" t="s"/>
    </row>
    <row r="158" spans="9:16">
      <c r="I158" s="112" t="s"/>
      <c r="M158" s="113" t="s"/>
      <c r="O158" s="114" t="s"/>
      <c r="P158" s="114" t="s"/>
    </row>
    <row r="159" spans="9:16">
      <c r="I159" s="112" t="s"/>
      <c r="M159" s="113" t="s"/>
      <c r="O159" s="114" t="s"/>
      <c r="P159" s="114" t="s"/>
    </row>
    <row r="160" spans="9:16">
      <c r="I160" s="112" t="s"/>
      <c r="M160" s="113" t="s"/>
      <c r="O160" s="114" t="s"/>
      <c r="P160" s="114" t="s"/>
    </row>
    <row r="161" spans="9:16">
      <c r="I161" s="112" t="s"/>
      <c r="M161" s="113" t="s"/>
      <c r="O161" s="114" t="s"/>
      <c r="P161" s="114" t="s"/>
    </row>
    <row r="162" spans="9:16">
      <c r="I162" s="112" t="s"/>
      <c r="M162" s="113" t="s"/>
      <c r="O162" s="114" t="s"/>
      <c r="P162" s="114" t="s"/>
    </row>
    <row r="163" spans="9:16">
      <c r="I163" s="112" t="s"/>
      <c r="M163" s="113" t="s"/>
      <c r="O163" s="114" t="s"/>
      <c r="P163" s="114" t="s"/>
    </row>
    <row r="164" spans="9:16">
      <c r="I164" s="112" t="s"/>
      <c r="M164" s="113" t="s"/>
      <c r="O164" s="114" t="s"/>
      <c r="P164" s="114" t="s"/>
    </row>
    <row r="165" spans="9:16">
      <c r="I165" s="112" t="s"/>
      <c r="M165" s="113" t="s"/>
      <c r="O165" s="114" t="s"/>
      <c r="P165" s="114" t="s"/>
    </row>
    <row r="166" spans="9:16">
      <c r="I166" s="112" t="s"/>
      <c r="M166" s="113" t="s"/>
      <c r="O166" s="114" t="s"/>
      <c r="P166" s="114" t="s"/>
    </row>
    <row r="167" spans="9:16">
      <c r="I167" s="112" t="s"/>
      <c r="M167" s="113" t="s"/>
      <c r="O167" s="114" t="s"/>
      <c r="P167" s="114" t="s"/>
    </row>
    <row r="168" spans="9:16">
      <c r="I168" s="112" t="s"/>
      <c r="M168" s="113" t="s"/>
      <c r="O168" s="114" t="s"/>
      <c r="P168" s="114" t="s"/>
    </row>
    <row r="169" spans="9:16">
      <c r="I169" s="112" t="s"/>
      <c r="M169" s="113" t="s"/>
      <c r="O169" s="114" t="s"/>
      <c r="P169" s="114" t="s"/>
    </row>
    <row r="170" spans="9:16">
      <c r="I170" s="112" t="s"/>
      <c r="M170" s="113" t="s"/>
      <c r="O170" s="114" t="s"/>
      <c r="P170" s="114" t="s"/>
    </row>
    <row r="171" spans="9:16">
      <c r="I171" s="112" t="s"/>
      <c r="M171" s="113" t="s"/>
      <c r="O171" s="114" t="s"/>
      <c r="P171" s="114" t="s"/>
    </row>
    <row r="172" spans="9:16">
      <c r="I172" s="112" t="s"/>
      <c r="M172" s="113" t="s"/>
      <c r="O172" s="114" t="s"/>
      <c r="P172" s="114" t="s"/>
    </row>
    <row r="173" spans="9:16">
      <c r="I173" s="112" t="s"/>
      <c r="M173" s="113" t="s"/>
      <c r="O173" s="114" t="s"/>
      <c r="P173" s="114" t="s"/>
    </row>
    <row r="174" spans="9:16">
      <c r="I174" s="112" t="s"/>
      <c r="M174" s="113" t="s"/>
      <c r="O174" s="114" t="s"/>
      <c r="P174" s="114" t="s"/>
    </row>
    <row r="175" spans="9:16">
      <c r="I175" s="112" t="s"/>
      <c r="M175" s="113" t="s"/>
      <c r="O175" s="114" t="s"/>
      <c r="P175" s="114" t="s"/>
    </row>
    <row r="176" spans="9:16">
      <c r="I176" s="112" t="s"/>
      <c r="M176" s="113" t="s"/>
      <c r="O176" s="114" t="s"/>
      <c r="P176" s="114" t="s"/>
    </row>
    <row r="177" spans="9:16">
      <c r="I177" s="112" t="s"/>
      <c r="M177" s="113" t="s"/>
      <c r="O177" s="114" t="s"/>
      <c r="P177" s="114" t="s"/>
    </row>
    <row r="178" spans="9:16">
      <c r="I178" s="112" t="s"/>
      <c r="M178" s="113" t="s"/>
      <c r="O178" s="114" t="s"/>
      <c r="P178" s="114" t="s"/>
    </row>
    <row r="179" spans="9:16">
      <c r="I179" s="112" t="s"/>
      <c r="M179" s="113" t="s"/>
      <c r="O179" s="114" t="s"/>
      <c r="P179" s="114" t="s"/>
    </row>
    <row r="180" spans="9:16">
      <c r="I180" s="112" t="s"/>
      <c r="M180" s="113" t="s"/>
      <c r="O180" s="114" t="s"/>
      <c r="P180" s="114" t="s"/>
    </row>
    <row r="181" spans="9:16">
      <c r="I181" s="112" t="s"/>
      <c r="M181" s="113" t="s"/>
      <c r="O181" s="114" t="s"/>
      <c r="P181" s="114" t="s"/>
    </row>
    <row r="182" spans="9:16">
      <c r="I182" s="112" t="s"/>
      <c r="M182" s="113" t="s"/>
      <c r="O182" s="114" t="s"/>
      <c r="P182" s="114" t="s"/>
    </row>
    <row r="183" spans="9:16">
      <c r="I183" s="112" t="s"/>
      <c r="M183" s="113" t="s"/>
      <c r="O183" s="114" t="s"/>
      <c r="P183" s="114" t="s"/>
    </row>
    <row r="184" spans="9:16">
      <c r="I184" s="112" t="s"/>
      <c r="M184" s="113" t="s"/>
      <c r="O184" s="114" t="s"/>
      <c r="P184" s="114" t="s"/>
    </row>
    <row r="185" spans="9:16">
      <c r="I185" s="112" t="s"/>
      <c r="M185" s="113" t="s"/>
      <c r="O185" s="114" t="s"/>
      <c r="P185" s="114" t="s"/>
    </row>
    <row r="186" spans="9:16">
      <c r="I186" s="112" t="s"/>
      <c r="M186" s="113" t="s"/>
      <c r="O186" s="114" t="s"/>
      <c r="P186" s="114" t="s"/>
    </row>
    <row r="187" spans="9:16">
      <c r="I187" s="112" t="s"/>
      <c r="M187" s="113" t="s"/>
      <c r="O187" s="114" t="s"/>
      <c r="P187" s="114" t="s"/>
    </row>
    <row r="188" spans="9:16">
      <c r="I188" s="112" t="s"/>
      <c r="M188" s="113" t="s"/>
      <c r="O188" s="114" t="s"/>
      <c r="P188" s="114" t="s"/>
    </row>
    <row r="189" spans="9:16">
      <c r="I189" s="112" t="s"/>
      <c r="M189" s="113" t="s"/>
      <c r="O189" s="114" t="s"/>
      <c r="P189" s="114" t="s"/>
    </row>
    <row r="190" spans="9:16">
      <c r="I190" s="112" t="s"/>
      <c r="M190" s="113" t="s"/>
      <c r="O190" s="114" t="s"/>
      <c r="P190" s="114" t="s"/>
    </row>
    <row r="191" spans="9:16">
      <c r="I191" s="112" t="s"/>
      <c r="M191" s="113" t="s"/>
      <c r="O191" s="114" t="s"/>
      <c r="P191" s="114" t="s"/>
    </row>
    <row r="192" spans="9:16">
      <c r="I192" s="112" t="s"/>
      <c r="M192" s="113" t="s"/>
      <c r="O192" s="114" t="s"/>
      <c r="P192" s="114" t="s"/>
    </row>
    <row r="193" spans="9:16">
      <c r="I193" s="112" t="s"/>
      <c r="M193" s="113" t="s"/>
      <c r="O193" s="114" t="s"/>
      <c r="P193" s="114" t="s"/>
    </row>
    <row r="194" spans="9:16">
      <c r="I194" s="112" t="s"/>
      <c r="M194" s="113" t="s"/>
      <c r="O194" s="114" t="s"/>
      <c r="P194" s="114" t="s"/>
    </row>
    <row r="195" spans="9:16">
      <c r="I195" s="112" t="s"/>
      <c r="M195" s="113" t="s"/>
      <c r="O195" s="114" t="s"/>
      <c r="P195" s="114" t="s"/>
    </row>
    <row r="196" spans="9:16">
      <c r="I196" s="112" t="s"/>
      <c r="M196" s="113" t="s"/>
      <c r="O196" s="114" t="s"/>
      <c r="P196" s="114" t="s"/>
    </row>
    <row r="197" spans="9:16">
      <c r="I197" s="112" t="s"/>
      <c r="M197" s="113" t="s"/>
      <c r="O197" s="114" t="s"/>
      <c r="P197" s="114" t="s"/>
    </row>
    <row r="198" spans="9:16">
      <c r="I198" s="112" t="s"/>
      <c r="M198" s="113" t="s"/>
      <c r="O198" s="114" t="s"/>
      <c r="P198" s="114" t="s"/>
    </row>
    <row r="199" spans="9:16">
      <c r="I199" s="112" t="s"/>
      <c r="M199" s="113" t="s"/>
      <c r="O199" s="114" t="s"/>
      <c r="P199" s="114" t="s"/>
    </row>
    <row r="200" spans="9:16">
      <c r="I200" s="112" t="s"/>
      <c r="M200" s="113" t="s"/>
      <c r="O200" s="114" t="s"/>
      <c r="P200" s="114" t="s"/>
    </row>
    <row r="201" spans="9:16">
      <c r="I201" s="112" t="s"/>
      <c r="M201" s="113" t="s"/>
      <c r="O201" s="114" t="s"/>
      <c r="P201" s="114" t="s"/>
    </row>
    <row r="202" spans="9:16">
      <c r="I202" s="112" t="s"/>
      <c r="M202" s="113" t="s"/>
      <c r="O202" s="114" t="s"/>
      <c r="P202" s="114" t="s"/>
    </row>
    <row r="203" spans="9:16">
      <c r="I203" s="112" t="s"/>
      <c r="M203" s="113" t="s"/>
      <c r="O203" s="114" t="s"/>
      <c r="P203" s="114" t="s"/>
    </row>
    <row r="204" spans="9:16">
      <c r="I204" s="112" t="s"/>
      <c r="M204" s="113" t="s"/>
      <c r="O204" s="114" t="s"/>
      <c r="P204" s="114" t="s"/>
    </row>
    <row r="205" spans="9:16">
      <c r="I205" s="112" t="s"/>
      <c r="M205" s="113" t="s"/>
      <c r="O205" s="114" t="s"/>
      <c r="P205" s="114" t="s"/>
    </row>
    <row r="206" spans="9:16">
      <c r="I206" s="112" t="s"/>
      <c r="M206" s="113" t="s"/>
      <c r="O206" s="114" t="s"/>
      <c r="P206" s="114" t="s"/>
    </row>
  </sheetData>
  <mergeCells count="12">
    <mergeCell ref="A1:C1"/>
    <mergeCell ref="D1:H1"/>
    <mergeCell ref="A16:A23"/>
    <mergeCell ref="B16:B23"/>
    <mergeCell ref="N1:P1"/>
    <mergeCell ref="A3:A9"/>
    <mergeCell ref="B3:B9"/>
    <mergeCell ref="A11:A14"/>
    <mergeCell ref="B11:B14"/>
    <mergeCell ref="B25:B28"/>
    <mergeCell ref="A25:A28"/>
    <mergeCell ref="J1:M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2026-10-02T23:58:58Z</dcterms:created>
  <dcterms:modified xsi:type="dcterms:W3CDTF">2026-10-02T23:58:58Z</dcterms:modified>
</cp:coreProperties>
</file>